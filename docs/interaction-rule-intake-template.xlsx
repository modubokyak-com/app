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① 새 조합" sheetId="2" state="visible" r:id="rId2"/>
    <sheet xmlns:r="http://schemas.openxmlformats.org/officeDocument/2006/relationships" name="② 새 성분" sheetId="3" state="visible" r:id="rId3"/>
    <sheet xmlns:r="http://schemas.openxmlformats.org/officeDocument/2006/relationships" name="③ 이미 있는 조합" sheetId="4" state="visible" r:id="rId4"/>
    <sheet xmlns:r="http://schemas.openxmlformats.org/officeDocument/2006/relationships" name="④ 이미 있는 성분·계열" sheetId="5" state="visible" r:id="rId5"/>
    <sheet xmlns:r="http://schemas.openxmlformats.org/officeDocument/2006/relationships" name="⑤ 용어" sheetId="6" state="visible" r:id="rId6"/>
  </sheets>
  <definedNames>
    <definedName name="_xlnm._FilterDatabase" localSheetId="3" hidden="1">'③ 이미 있는 조합'!$A$2:$I$72</definedName>
    <definedName name="_xlnm._FilterDatabase" localSheetId="4" hidden="1">'④ 이미 있는 성분·계열'!$A$2:$B$165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3A5F"/>
      <sz val="16"/>
    </font>
    <font>
      <name val="맑은 고딕"/>
      <sz val="11"/>
    </font>
    <font>
      <name val="맑은 고딕"/>
      <b val="1"/>
      <color rgb="001F3A5F"/>
      <sz val="12"/>
    </font>
    <font>
      <name val="맑은 고딕"/>
      <i val="1"/>
      <color rgb="00555555"/>
      <sz val="11"/>
    </font>
    <font>
      <name val="맑은 고딕"/>
      <b val="1"/>
      <color rgb="00FFFFFF"/>
      <sz val="11"/>
    </font>
    <font>
      <name val="맑은 고딕"/>
      <b val="1"/>
      <color rgb="001F3A5F"/>
      <sz val="11"/>
    </font>
    <font>
      <name val="맑은 고딕"/>
      <color rgb="00555555"/>
      <sz val="11"/>
    </font>
    <font>
      <name val="맑은 고딕"/>
      <i val="1"/>
      <color rgb="001F3A5F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C6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2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모두의 복약</author>
  </authors>
  <commentList>
    <comment ref="A2" authorId="0" shapeId="0">
      <text>
        <t>순서대로 1, 2, 3 …</t>
      </text>
    </comment>
    <comment ref="B2" authorId="0" shapeId="0">
      <text>
        <t>시트④ 표기 그대로. 계열(스타틴)도 가능</t>
      </text>
    </comment>
    <comment ref="C2" authorId="0" shapeId="0">
      <text>
        <t>시트④ 표기 그대로. '둘 중 하나'면 「마그네슘 / 비타민 B12」처럼 /로 구분</t>
      </text>
    </comment>
    <comment ref="D2" authorId="0" shapeId="0">
      <text>
        <t>임신·수술 예정 등. 드롭다운. 조건이 있을 때만 걸리는 규칙에 사용</t>
      </text>
    </comment>
    <comment ref="E2" authorId="0" shapeId="0">
      <text>
        <t>드롭다운. 뜻은 시트⑤ A</t>
      </text>
    </comment>
    <comment ref="F2" authorId="0" shapeId="0">
      <text>
        <t>드롭다운. 뜻은 시트⑤ B</t>
      </text>
    </comment>
    <comment ref="G2" authorId="0" shapeId="0">
      <text>
        <t>결과 목록에 보이는 한 줄. 40자 이내</t>
      </text>
    </comment>
    <comment ref="H2" authorId="0" shapeId="0">
      <text>
        <t>어르신 눈높이 2문장 이내. 왜 조심해야 하는지</t>
      </text>
    </comment>
    <comment ref="I2" authorId="0" shapeId="0">
      <text>
        <t>다음 행동. '~해 주세요'로 끝맺기</t>
      </text>
    </comment>
    <comment ref="J2" authorId="0" shapeId="0">
      <text>
        <t>등급이 「시간 조정」일 때 숫자만. 예: 4</t>
      </text>
    </comment>
    <comment ref="K2" authorId="0" shapeId="0">
      <text>
        <t>수술 예정 조건일 때 숫자만. 예: 7</t>
      </text>
    </comment>
    <comment ref="L2" authorId="0" shapeId="0">
      <text>
        <t>책 쪽수 / 논문 / 고시번호. 필수</t>
      </text>
    </comment>
    <comment ref="M2" authorId="0" shapeId="0">
      <text>
        <t>화면에 안 나감. 약사 검수용 메모</t>
      </text>
    </comment>
    <comment ref="N2" authorId="0" shapeId="0">
      <text>
        <t>'둘 중 하나' 표시, 근거가 얇은 이유 등</t>
      </text>
    </comment>
    <comment ref="O2" authorId="0" shapeId="0">
      <text>
        <t>자동 계산 — 손대지 마세요</t>
      </text>
    </comment>
  </commentList>
</comments>
</file>

<file path=xl/comments/comment2.xml><?xml version="1.0" encoding="utf-8"?>
<comments xmlns="http://schemas.openxmlformats.org/spreadsheetml/2006/main">
  <authors>
    <author>모두의 복약</author>
  </authors>
  <commentList>
    <comment ref="A2" authorId="0" shapeId="0">
      <text>
        <t>시트①에 적은 것과 똑같이</t>
      </text>
    </comment>
    <comment ref="B2" authorId="0" shapeId="0">
      <text>
        <t>일반명. 예: cranberry, duloxetine</t>
      </text>
    </comment>
    <comment ref="C2" authorId="0" shapeId="0">
      <text>
        <t>염 표기·흔한 상품명·오타. 예: 둘록세틴염산염, 심발타</t>
      </text>
    </comment>
    <comment ref="D2" authorId="0" shapeId="0">
      <text>
        <t>드롭다운. 시트⑤ E</t>
      </text>
    </comment>
    <comment ref="E2" authorId="0" shapeId="0">
      <text>
        <t>예: 아토르바스타틴 → 스타틴. 계열도 시트④ 표기로</t>
      </text>
    </comment>
    <comment ref="F2" authorId="0" shapeId="0">
      <text>
        <t>예/아니오. 예면 어떤 이름의 버튼이면 좋을지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모두의 복약 — 약 × 영양제 조합 추가 입력 양식 (v1, 2026-10-12)</t>
        </is>
      </c>
    </row>
    <row r="2">
      <c r="A2" s="2" t="inlineStr"/>
    </row>
    <row r="3">
      <c r="A3" s="3" t="inlineStr">
        <is>
          <t>왜 이 양식인가</t>
        </is>
      </c>
    </row>
    <row r="4">
      <c r="A4" s="2" t="inlineStr">
        <is>
          <t>앱의 「1분 복용 점검」은 데이터베이스에 들어 있는 조합 규칙만 보여 줍니다. 앱이 문장을 지어내지 않습니다.</t>
        </is>
      </c>
    </row>
    <row r="5">
      <c r="A5" s="2" t="inlineStr">
        <is>
          <t>그래서 연구원님이 적어 주신 「무슨 일이」「어떻게 하면」 문장이 그대로 사용자 화면에 나갑니다. 화면용 문장을 가장 신경 써 주세요.</t>
        </is>
      </c>
    </row>
    <row r="6">
      <c r="A6" s="2" t="inlineStr"/>
    </row>
    <row r="7">
      <c r="A7" s="3" t="inlineStr">
        <is>
          <t>어디에 적나 — 노란 칸만 적으시면 됩니다</t>
        </is>
      </c>
    </row>
    <row r="8">
      <c r="A8" s="2" t="inlineStr">
        <is>
          <t>시트 ①「새 조합」 : 새로 넣을 약 × 영양제(또는 영양제 × 영양제) 조합. 한 줄 = 조합 하나. 회색 줄 3개는 예시이니 지우지 말고 그 아래부터 적어 주세요.</t>
        </is>
      </c>
    </row>
    <row r="9">
      <c r="A9" s="2" t="inlineStr">
        <is>
          <t>시트 ②「새 성분」 : 조합에 쓴 성분·계열 이름이 시트 ④ 목록에 없을 때만 적습니다. 시트 ①의 「목록 확인」 칸이 자동으로 알려 줍니다.</t>
        </is>
      </c>
    </row>
    <row r="10">
      <c r="A10" s="2" t="inlineStr">
        <is>
          <t>시트 ③「이미 있는 조합」 : 지금 데이터베이스에 있는 70건. 중복으로 적지 않도록 먼저 훑어봐 주세요. 고칠 것이 있으면 맨 오른쪽 「의견」 칸에 적어 주세요.</t>
        </is>
      </c>
    </row>
    <row r="11">
      <c r="A11" s="2" t="inlineStr">
        <is>
          <t>시트 ④「이미 있는 성분·계열」 : 이름 표기를 이 목록과 똑같이 맞춰 주세요 (예: 오메가-3, 비타민 D, 코엔자임 Q10).</t>
        </is>
      </c>
    </row>
    <row r="12">
      <c r="A12" s="2" t="inlineStr">
        <is>
          <t>시트 ⑤「용어」 : 등급·근거 수준·조건의 뜻과 고를 수 있는 값. 시트 ①의 드롭다운이 이 시트를 읽습니다.</t>
        </is>
      </c>
    </row>
    <row r="13">
      <c r="A13" s="2" t="inlineStr"/>
    </row>
    <row r="14">
      <c r="A14" s="3" t="inlineStr">
        <is>
          <t>꼭 지켜 주실 것 5가지</t>
        </is>
      </c>
    </row>
    <row r="15">
      <c r="A15" s="2" t="inlineStr">
        <is>
          <t>1. 한 줄에 조합 하나. 「A × B 또는 C」처럼 여러 조합을 한 줄에 적지 말고 줄을 나눠 주세요. 단, 「PPI × (마그네슘 또는 비타민 B12)」처럼 한쪽이 '둘 중 하나'인 규칙은 B칸에 「마그네슘 / 비타민 B12」로 적고 비고에 '둘 중 하나'라고 써 주세요.</t>
        </is>
      </c>
    </row>
    <row r="16">
      <c r="A16" s="2" t="inlineStr">
        <is>
          <t>2. 성분·계열 이름은 시트 ④ 표기 그대로. 계열(스타틴, 항혈소판제 …)로 적어도 되고 개별 성분(아토르바스타틴)으로 적어도 됩니다. 계열로 적으면 그 계열의 모든 약에 걸립니다.</t>
        </is>
      </c>
    </row>
    <row r="17">
      <c r="A17" s="2" t="inlineStr">
        <is>
          <t>3. 등급·근거 수준은 드롭다운에서만 고릅니다. 뜻은 시트 ⑤에 있습니다. 근거가 얇은데 등급이 높으면 비고에 이유를 적어 주세요.</t>
        </is>
      </c>
    </row>
    <row r="18">
      <c r="A18" s="2" t="inlineStr">
        <is>
          <t>4. 화면용 문장(무슨 일이·어떻게 하면)은 70대 어르신이 읽는 글입니다. 각 2문장 이내, 전문용어(INR·CYP3A4 등)는 풀어 쓰고, 끝은 '~해 주세요' '~하세요'. 「담당 선생님과 상의」처럼 다음 행동이 보이게 적어 주세요.</t>
        </is>
      </c>
    </row>
    <row r="19">
      <c r="A19" s="2" t="inlineStr">
        <is>
          <t>5. 출처는 반드시. 책이면 「책이름 쪽수」, 논문이면 「저자 연도 저널」, 식약처 자료면 「고시번호」. 출처 없는 줄은 데이터베이스에 넣지 않고 보류합니다.</t>
        </is>
      </c>
    </row>
    <row r="20">
      <c r="A20" s="2" t="inlineStr"/>
    </row>
    <row r="21">
      <c r="A21" s="3" t="inlineStr">
        <is>
          <t>적지 않아도 되는 것</t>
        </is>
      </c>
    </row>
    <row r="22">
      <c r="A22" s="2" t="inlineStr">
        <is>
          <t>영문 코드, 데이터베이스 ID, 규칙 코드는 개발자가 붙입니다. 「시간 간격」「수술 전 중단」은 해당할 때만 적습니다.</t>
        </is>
      </c>
    </row>
    <row r="23">
      <c r="A23" s="2" t="inlineStr"/>
    </row>
    <row r="24">
      <c r="A24" s="3" t="inlineStr">
        <is>
          <t>보내 주신 뒤 절차</t>
        </is>
      </c>
    </row>
    <row r="25">
      <c r="A25" s="2" t="inlineStr">
        <is>
          <t>개발자가 그대로 데이터베이스에 넣되 '검수 중' 상태로 두고, 약사 승인 뒤에만 앱에 나갑니다(데이터베이스 제약으로 승인 전 게시가 막혀 있습니다). 넣은 뒤 어떤 입력에 걸렸는지 결과 화면 캡처를 돌려 드립니다.</t>
        </is>
      </c>
    </row>
    <row r="27">
      <c r="A27" s="4" t="inlineStr">
        <is>
          <t>칸 색 안내:   노란 칸 = 연구원님이 적는 곳      회색 줄 = 예시(지우지 마세요)      흰 칸 = 자동 계산·참고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8" customWidth="1" min="4" max="4"/>
    <col width="11" customWidth="1" min="5" max="5"/>
    <col width="11" customWidth="1" min="6" max="6"/>
    <col width="36" customWidth="1" min="7" max="7"/>
    <col width="50" customWidth="1" min="8" max="8"/>
    <col width="50" customWidth="1" min="9" max="9"/>
    <col width="10" customWidth="1" min="10" max="10"/>
    <col width="10" customWidth="1" min="11" max="11"/>
    <col width="24" customWidth="1" min="12" max="12"/>
    <col width="40" customWidth="1" min="13" max="13"/>
    <col width="30" customWidth="1" min="14" max="14"/>
    <col width="22" customWidth="1" min="15" max="15"/>
    <col width="16" customWidth="1" min="16" max="16"/>
  </cols>
  <sheetData>
    <row r="1">
      <c r="A1" s="5" t="inlineStr">
        <is>
          <t>새로 넣을 조합 — 노란 칸만 적어 주세요. 회색 3줄은 예시입니다(지우지 마세요). 「목록 확인」이 '새 성분'이라고 뜨면 시트②에 그 성분을 적어 주세요.</t>
        </is>
      </c>
    </row>
    <row r="2" ht="46" customHeight="1">
      <c r="A2" s="6" t="inlineStr">
        <is>
          <t>번호</t>
        </is>
      </c>
      <c r="B2" s="6" t="inlineStr">
        <is>
          <t>A쪽: 약 (성분 또는 계열)</t>
        </is>
      </c>
      <c r="C2" s="6" t="inlineStr">
        <is>
          <t>B쪽: 영양제·건기식 (또는 두 번째 약)</t>
        </is>
      </c>
      <c r="D2" s="6" t="inlineStr">
        <is>
          <t>조건 (해당할 때만)</t>
        </is>
      </c>
      <c r="E2" s="6" t="inlineStr">
        <is>
          <t>등급</t>
        </is>
      </c>
      <c r="F2" s="6" t="inlineStr">
        <is>
          <t>근거 수준</t>
        </is>
      </c>
      <c r="G2" s="6" t="inlineStr">
        <is>
          <t>요약 한 줄 (화면 제목)</t>
        </is>
      </c>
      <c r="H2" s="6" t="inlineStr">
        <is>
          <t>무슨 일이 (화면)</t>
        </is>
      </c>
      <c r="I2" s="6" t="inlineStr">
        <is>
          <t>어떻게 하면 (화면)</t>
        </is>
      </c>
      <c r="J2" s="6" t="inlineStr">
        <is>
          <t>시간 간격(시간)</t>
        </is>
      </c>
      <c r="K2" s="6" t="inlineStr">
        <is>
          <t>수술 전 중단(일)</t>
        </is>
      </c>
      <c r="L2" s="6" t="inlineStr">
        <is>
          <t>출처</t>
        </is>
      </c>
      <c r="M2" s="6" t="inlineStr">
        <is>
          <t>기전 요약 (내부용, 선택)</t>
        </is>
      </c>
      <c r="N2" s="6" t="inlineStr">
        <is>
          <t>비고</t>
        </is>
      </c>
      <c r="O2" s="6" t="inlineStr">
        <is>
          <t>목록 확인 (자동)</t>
        </is>
      </c>
      <c r="P2" s="6" t="inlineStr">
        <is>
          <t>작성자 / 날짜</t>
        </is>
      </c>
    </row>
    <row r="3" ht="96" customHeight="1">
      <c r="A3" s="7" t="inlineStr">
        <is>
          <t>예시1</t>
        </is>
      </c>
      <c r="B3" s="7" t="inlineStr">
        <is>
          <t>와파린</t>
        </is>
      </c>
      <c r="C3" s="7" t="inlineStr">
        <is>
          <t>크랜베리</t>
        </is>
      </c>
      <c r="D3" s="7" t="inlineStr"/>
      <c r="E3" s="7" t="inlineStr">
        <is>
          <t>주의</t>
        </is>
      </c>
      <c r="F3" s="7" t="inlineStr">
        <is>
          <t>제한적</t>
        </is>
      </c>
      <c r="G3" s="7" t="inlineStr">
        <is>
          <t>와파린을 드시면 크랜베리는 피해 주세요</t>
        </is>
      </c>
      <c r="H3" s="7" t="inlineStr">
        <is>
          <t>크랜베리를 함께 드신 뒤 피가 잘 멎지 않는 쪽으로 수치가 올라갔다는 보고가 있습니다. 출혈 위험이 커질 수 있습니다.</t>
        </is>
      </c>
      <c r="I3" s="7" t="inlineStr">
        <is>
          <t>요로감염 예방으로 크랜베리를 생각하신다면, 와파린 복용 사실을 알리고 다른 방법이 있는지 담당 선생님과 상의해 주세요.</t>
        </is>
      </c>
      <c r="J3" s="7" t="n"/>
      <c r="K3" s="7" t="n"/>
      <c r="L3" s="7" t="inlineStr">
        <is>
          <t>임상건강기능식품학 부록 §4 p.358</t>
        </is>
      </c>
      <c r="M3" s="7" t="inlineStr">
        <is>
          <t>크랜베리 플라보노이드가 CYP2C9 억제 → 와파린 농도↑, INR↑ 사례보고</t>
        </is>
      </c>
      <c r="N3" s="7" t="inlineStr">
        <is>
          <t>이미 DB에 있는 규칙을 예시로 옮긴 것</t>
        </is>
      </c>
      <c r="O3" s="8">
        <f>IF(AND(B3="",C3=""),"",IF(AND(OR(B3="",ISNUMBER(MATCH(TRIM(B3),'④ 이미 있는 성분·계열'!$A$3:$A$165,0))),OR(C3="",ISNUMBER(MATCH(TRIM(IF(ISNUMBER(FIND("/",C3)),LEFT(C3,FIND("/",C3)-1),C3)),'④ 이미 있는 성분·계열'!$A$3:$A$165,0)))),"둘 다 목록에 있음","새 성분 → 시트②에 적어 주세요"))</f>
        <v/>
      </c>
      <c r="P3" s="7" t="inlineStr">
        <is>
          <t>예시</t>
        </is>
      </c>
    </row>
    <row r="4" ht="96" customHeight="1">
      <c r="A4" s="7" t="inlineStr">
        <is>
          <t>예시2</t>
        </is>
      </c>
      <c r="B4" s="7" t="inlineStr">
        <is>
          <t>레보티록신</t>
        </is>
      </c>
      <c r="C4" s="7" t="inlineStr">
        <is>
          <t>칼슘 / 철분</t>
        </is>
      </c>
      <c r="D4" s="7" t="inlineStr"/>
      <c r="E4" s="7" t="inlineStr">
        <is>
          <t>시간 조정</t>
        </is>
      </c>
      <c r="F4" s="7" t="inlineStr">
        <is>
          <t>확립</t>
        </is>
      </c>
      <c r="G4" s="7" t="inlineStr">
        <is>
          <t>갑상선약과 칼슘·철분은 4시간 띄워 드세요</t>
        </is>
      </c>
      <c r="H4" s="7" t="inlineStr">
        <is>
          <t>칼슘이나 철분이 갑상선약을 장에서 붙잡아 흡수를 줄입니다. 효과가 약해질 수 있습니다.</t>
        </is>
      </c>
      <c r="I4" s="7" t="inlineStr">
        <is>
          <t>갑상선약은 아침 공복에 먼저 드시고, 칼슘·철분은 4시간 뒤에 드세요.</t>
        </is>
      </c>
      <c r="J4" s="7" t="n">
        <v>4</v>
      </c>
      <c r="K4" s="7" t="n"/>
      <c r="L4" s="7" t="inlineStr">
        <is>
          <t>임상건강기능식품학 부록 §4 p.372</t>
        </is>
      </c>
      <c r="M4" s="7" t="inlineStr">
        <is>
          <t>다가양이온이 레보티록신과 불용성 복합체 형성</t>
        </is>
      </c>
      <c r="N4" s="7" t="inlineStr">
        <is>
          <t>B쪽 '둘 중 하나' — 칼슘만 골라도, 철분만 골라도 걸림</t>
        </is>
      </c>
      <c r="O4" s="8">
        <f>IF(AND(B4="",C4=""),"",IF(AND(OR(B4="",ISNUMBER(MATCH(TRIM(B4),'④ 이미 있는 성분·계열'!$A$3:$A$165,0))),OR(C4="",ISNUMBER(MATCH(TRIM(IF(ISNUMBER(FIND("/",C4)),LEFT(C4,FIND("/",C4)-1),C4)),'④ 이미 있는 성분·계열'!$A$3:$A$165,0)))),"둘 다 목록에 있음","새 성분 → 시트②에 적어 주세요"))</f>
        <v/>
      </c>
      <c r="P4" s="7" t="inlineStr">
        <is>
          <t>예시</t>
        </is>
      </c>
    </row>
    <row r="5" ht="96" customHeight="1">
      <c r="A5" s="7" t="inlineStr">
        <is>
          <t>예시3</t>
        </is>
      </c>
      <c r="B5" s="7" t="inlineStr">
        <is>
          <t>항혈소판제</t>
        </is>
      </c>
      <c r="C5" s="7" t="inlineStr">
        <is>
          <t>은행잎</t>
        </is>
      </c>
      <c r="D5" s="7" t="inlineStr">
        <is>
          <t>수술 예정</t>
        </is>
      </c>
      <c r="E5" s="7" t="inlineStr">
        <is>
          <t>주의</t>
        </is>
      </c>
      <c r="F5" s="7" t="inlineStr">
        <is>
          <t>확립</t>
        </is>
      </c>
      <c r="G5" s="7" t="inlineStr">
        <is>
          <t>수술 전에는 은행잎을 미리 끊어 주세요</t>
        </is>
      </c>
      <c r="H5" s="7" t="inlineStr">
        <is>
          <t>은행잎은 피를 묽게 하는 쪽으로 작용합니다. 피를 묽게 하는 약과 겹치면 수술 중 출혈이 늘 수 있습니다.</t>
        </is>
      </c>
      <c r="I5" s="7" t="inlineStr">
        <is>
          <t>수술 날짜가 잡혀 있다면 적어도 1주일 전에는 은행잎 제품을 멈추고, 드시고 있다는 사실을 수술팀에 알려 주세요.</t>
        </is>
      </c>
      <c r="J5" s="7" t="n"/>
      <c r="K5" s="7" t="n">
        <v>7</v>
      </c>
      <c r="L5" s="7" t="inlineStr">
        <is>
          <t>임상건강기능식품학 부록 §4 p.377</t>
        </is>
      </c>
      <c r="M5" s="7" t="inlineStr">
        <is>
          <t>은행잎 테르펜락톤의 PAF 길항 → 혈소판 응집 억제 가산</t>
        </is>
      </c>
      <c r="N5" s="7" t="inlineStr">
        <is>
          <t>조건이 있는 규칙의 예 — 수술 예정일 때만 이 문구가 나감</t>
        </is>
      </c>
      <c r="O5" s="8">
        <f>IF(AND(B5="",C5=""),"",IF(AND(OR(B5="",ISNUMBER(MATCH(TRIM(B5),'④ 이미 있는 성분·계열'!$A$3:$A$165,0))),OR(C5="",ISNUMBER(MATCH(TRIM(IF(ISNUMBER(FIND("/",C5)),LEFT(C5,FIND("/",C5)-1),C5)),'④ 이미 있는 성분·계열'!$A$3:$A$165,0)))),"둘 다 목록에 있음","새 성분 → 시트②에 적어 주세요"))</f>
        <v/>
      </c>
      <c r="P5" s="7" t="inlineStr">
        <is>
          <t>예시</t>
        </is>
      </c>
    </row>
    <row r="6">
      <c r="A6" s="9" t="n">
        <v>1</v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1">
        <f>IF(AND(B6="",C6=""),"",IF(AND(OR(B6="",ISNUMBER(MATCH(TRIM(B6),'④ 이미 있는 성분·계열'!$A$3:$A$165,0))),OR(C6="",ISNUMBER(MATCH(TRIM(IF(ISNUMBER(FIND("/",C6)),LEFT(C6,FIND("/",C6)-1),C6)),'④ 이미 있는 성분·계열'!$A$3:$A$165,0)))),"둘 다 목록에 있음","새 성분 → 시트②에 적어 주세요"))</f>
        <v/>
      </c>
      <c r="P6" s="10" t="n"/>
    </row>
    <row r="7">
      <c r="A7" s="9" t="n">
        <v>2</v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1">
        <f>IF(AND(B7="",C7=""),"",IF(AND(OR(B7="",ISNUMBER(MATCH(TRIM(B7),'④ 이미 있는 성분·계열'!$A$3:$A$165,0))),OR(C7="",ISNUMBER(MATCH(TRIM(IF(ISNUMBER(FIND("/",C7)),LEFT(C7,FIND("/",C7)-1),C7)),'④ 이미 있는 성분·계열'!$A$3:$A$165,0)))),"둘 다 목록에 있음","새 성분 → 시트②에 적어 주세요"))</f>
        <v/>
      </c>
      <c r="P7" s="10" t="n"/>
    </row>
    <row r="8">
      <c r="A8" s="9" t="n">
        <v>3</v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1">
        <f>IF(AND(B8="",C8=""),"",IF(AND(OR(B8="",ISNUMBER(MATCH(TRIM(B8),'④ 이미 있는 성분·계열'!$A$3:$A$165,0))),OR(C8="",ISNUMBER(MATCH(TRIM(IF(ISNUMBER(FIND("/",C8)),LEFT(C8,FIND("/",C8)-1),C8)),'④ 이미 있는 성분·계열'!$A$3:$A$165,0)))),"둘 다 목록에 있음","새 성분 → 시트②에 적어 주세요"))</f>
        <v/>
      </c>
      <c r="P8" s="10" t="n"/>
    </row>
    <row r="9">
      <c r="A9" s="9" t="n">
        <v>4</v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1">
        <f>IF(AND(B9="",C9=""),"",IF(AND(OR(B9="",ISNUMBER(MATCH(TRIM(B9),'④ 이미 있는 성분·계열'!$A$3:$A$165,0))),OR(C9="",ISNUMBER(MATCH(TRIM(IF(ISNUMBER(FIND("/",C9)),LEFT(C9,FIND("/",C9)-1),C9)),'④ 이미 있는 성분·계열'!$A$3:$A$165,0)))),"둘 다 목록에 있음","새 성분 → 시트②에 적어 주세요"))</f>
        <v/>
      </c>
      <c r="P9" s="10" t="n"/>
    </row>
    <row r="10">
      <c r="A10" s="9" t="n">
        <v>5</v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1">
        <f>IF(AND(B10="",C10=""),"",IF(AND(OR(B10="",ISNUMBER(MATCH(TRIM(B10),'④ 이미 있는 성분·계열'!$A$3:$A$165,0))),OR(C10="",ISNUMBER(MATCH(TRIM(IF(ISNUMBER(FIND("/",C10)),LEFT(C10,FIND("/",C10)-1),C10)),'④ 이미 있는 성분·계열'!$A$3:$A$165,0)))),"둘 다 목록에 있음","새 성분 → 시트②에 적어 주세요"))</f>
        <v/>
      </c>
      <c r="P10" s="10" t="n"/>
    </row>
    <row r="11">
      <c r="A11" s="9" t="n">
        <v>6</v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1">
        <f>IF(AND(B11="",C11=""),"",IF(AND(OR(B11="",ISNUMBER(MATCH(TRIM(B11),'④ 이미 있는 성분·계열'!$A$3:$A$165,0))),OR(C11="",ISNUMBER(MATCH(TRIM(IF(ISNUMBER(FIND("/",C11)),LEFT(C11,FIND("/",C11)-1),C11)),'④ 이미 있는 성분·계열'!$A$3:$A$165,0)))),"둘 다 목록에 있음","새 성분 → 시트②에 적어 주세요"))</f>
        <v/>
      </c>
      <c r="P11" s="10" t="n"/>
    </row>
    <row r="12">
      <c r="A12" s="9" t="n">
        <v>7</v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1">
        <f>IF(AND(B12="",C12=""),"",IF(AND(OR(B12="",ISNUMBER(MATCH(TRIM(B12),'④ 이미 있는 성분·계열'!$A$3:$A$165,0))),OR(C12="",ISNUMBER(MATCH(TRIM(IF(ISNUMBER(FIND("/",C12)),LEFT(C12,FIND("/",C12)-1),C12)),'④ 이미 있는 성분·계열'!$A$3:$A$165,0)))),"둘 다 목록에 있음","새 성분 → 시트②에 적어 주세요"))</f>
        <v/>
      </c>
      <c r="P12" s="10" t="n"/>
    </row>
    <row r="13">
      <c r="A13" s="9" t="n">
        <v>8</v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1">
        <f>IF(AND(B13="",C13=""),"",IF(AND(OR(B13="",ISNUMBER(MATCH(TRIM(B13),'④ 이미 있는 성분·계열'!$A$3:$A$165,0))),OR(C13="",ISNUMBER(MATCH(TRIM(IF(ISNUMBER(FIND("/",C13)),LEFT(C13,FIND("/",C13)-1),C13)),'④ 이미 있는 성분·계열'!$A$3:$A$165,0)))),"둘 다 목록에 있음","새 성분 → 시트②에 적어 주세요"))</f>
        <v/>
      </c>
      <c r="P13" s="10" t="n"/>
    </row>
    <row r="14">
      <c r="A14" s="9" t="n">
        <v>9</v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1">
        <f>IF(AND(B14="",C14=""),"",IF(AND(OR(B14="",ISNUMBER(MATCH(TRIM(B14),'④ 이미 있는 성분·계열'!$A$3:$A$165,0))),OR(C14="",ISNUMBER(MATCH(TRIM(IF(ISNUMBER(FIND("/",C14)),LEFT(C14,FIND("/",C14)-1),C14)),'④ 이미 있는 성분·계열'!$A$3:$A$165,0)))),"둘 다 목록에 있음","새 성분 → 시트②에 적어 주세요"))</f>
        <v/>
      </c>
      <c r="P14" s="10" t="n"/>
    </row>
    <row r="15">
      <c r="A15" s="9" t="n">
        <v>10</v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1">
        <f>IF(AND(B15="",C15=""),"",IF(AND(OR(B15="",ISNUMBER(MATCH(TRIM(B15),'④ 이미 있는 성분·계열'!$A$3:$A$165,0))),OR(C15="",ISNUMBER(MATCH(TRIM(IF(ISNUMBER(FIND("/",C15)),LEFT(C15,FIND("/",C15)-1),C15)),'④ 이미 있는 성분·계열'!$A$3:$A$165,0)))),"둘 다 목록에 있음","새 성분 → 시트②에 적어 주세요"))</f>
        <v/>
      </c>
      <c r="P15" s="10" t="n"/>
    </row>
    <row r="16">
      <c r="A16" s="9" t="n">
        <v>11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1">
        <f>IF(AND(B16="",C16=""),"",IF(AND(OR(B16="",ISNUMBER(MATCH(TRIM(B16),'④ 이미 있는 성분·계열'!$A$3:$A$165,0))),OR(C16="",ISNUMBER(MATCH(TRIM(IF(ISNUMBER(FIND("/",C16)),LEFT(C16,FIND("/",C16)-1),C16)),'④ 이미 있는 성분·계열'!$A$3:$A$165,0)))),"둘 다 목록에 있음","새 성분 → 시트②에 적어 주세요"))</f>
        <v/>
      </c>
      <c r="P16" s="10" t="n"/>
    </row>
    <row r="17">
      <c r="A17" s="9" t="n">
        <v>12</v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1">
        <f>IF(AND(B17="",C17=""),"",IF(AND(OR(B17="",ISNUMBER(MATCH(TRIM(B17),'④ 이미 있는 성분·계열'!$A$3:$A$165,0))),OR(C17="",ISNUMBER(MATCH(TRIM(IF(ISNUMBER(FIND("/",C17)),LEFT(C17,FIND("/",C17)-1),C17)),'④ 이미 있는 성분·계열'!$A$3:$A$165,0)))),"둘 다 목록에 있음","새 성분 → 시트②에 적어 주세요"))</f>
        <v/>
      </c>
      <c r="P17" s="10" t="n"/>
    </row>
    <row r="18">
      <c r="A18" s="9" t="n">
        <v>13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1">
        <f>IF(AND(B18="",C18=""),"",IF(AND(OR(B18="",ISNUMBER(MATCH(TRIM(B18),'④ 이미 있는 성분·계열'!$A$3:$A$165,0))),OR(C18="",ISNUMBER(MATCH(TRIM(IF(ISNUMBER(FIND("/",C18)),LEFT(C18,FIND("/",C18)-1),C18)),'④ 이미 있는 성분·계열'!$A$3:$A$165,0)))),"둘 다 목록에 있음","새 성분 → 시트②에 적어 주세요"))</f>
        <v/>
      </c>
      <c r="P18" s="10" t="n"/>
    </row>
    <row r="19">
      <c r="A19" s="9" t="n">
        <v>14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1">
        <f>IF(AND(B19="",C19=""),"",IF(AND(OR(B19="",ISNUMBER(MATCH(TRIM(B19),'④ 이미 있는 성분·계열'!$A$3:$A$165,0))),OR(C19="",ISNUMBER(MATCH(TRIM(IF(ISNUMBER(FIND("/",C19)),LEFT(C19,FIND("/",C19)-1),C19)),'④ 이미 있는 성분·계열'!$A$3:$A$165,0)))),"둘 다 목록에 있음","새 성분 → 시트②에 적어 주세요"))</f>
        <v/>
      </c>
      <c r="P19" s="10" t="n"/>
    </row>
    <row r="20">
      <c r="A20" s="9" t="n">
        <v>15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1">
        <f>IF(AND(B20="",C20=""),"",IF(AND(OR(B20="",ISNUMBER(MATCH(TRIM(B20),'④ 이미 있는 성분·계열'!$A$3:$A$165,0))),OR(C20="",ISNUMBER(MATCH(TRIM(IF(ISNUMBER(FIND("/",C20)),LEFT(C20,FIND("/",C20)-1),C20)),'④ 이미 있는 성분·계열'!$A$3:$A$165,0)))),"둘 다 목록에 있음","새 성분 → 시트②에 적어 주세요"))</f>
        <v/>
      </c>
      <c r="P20" s="10" t="n"/>
    </row>
    <row r="21">
      <c r="A21" s="9" t="n">
        <v>16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1">
        <f>IF(AND(B21="",C21=""),"",IF(AND(OR(B21="",ISNUMBER(MATCH(TRIM(B21),'④ 이미 있는 성분·계열'!$A$3:$A$165,0))),OR(C21="",ISNUMBER(MATCH(TRIM(IF(ISNUMBER(FIND("/",C21)),LEFT(C21,FIND("/",C21)-1),C21)),'④ 이미 있는 성분·계열'!$A$3:$A$165,0)))),"둘 다 목록에 있음","새 성분 → 시트②에 적어 주세요"))</f>
        <v/>
      </c>
      <c r="P21" s="10" t="n"/>
    </row>
    <row r="22">
      <c r="A22" s="9" t="n">
        <v>17</v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1">
        <f>IF(AND(B22="",C22=""),"",IF(AND(OR(B22="",ISNUMBER(MATCH(TRIM(B22),'④ 이미 있는 성분·계열'!$A$3:$A$165,0))),OR(C22="",ISNUMBER(MATCH(TRIM(IF(ISNUMBER(FIND("/",C22)),LEFT(C22,FIND("/",C22)-1),C22)),'④ 이미 있는 성분·계열'!$A$3:$A$165,0)))),"둘 다 목록에 있음","새 성분 → 시트②에 적어 주세요"))</f>
        <v/>
      </c>
      <c r="P22" s="10" t="n"/>
    </row>
    <row r="23">
      <c r="A23" s="9" t="n">
        <v>18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1">
        <f>IF(AND(B23="",C23=""),"",IF(AND(OR(B23="",ISNUMBER(MATCH(TRIM(B23),'④ 이미 있는 성분·계열'!$A$3:$A$165,0))),OR(C23="",ISNUMBER(MATCH(TRIM(IF(ISNUMBER(FIND("/",C23)),LEFT(C23,FIND("/",C23)-1),C23)),'④ 이미 있는 성분·계열'!$A$3:$A$165,0)))),"둘 다 목록에 있음","새 성분 → 시트②에 적어 주세요"))</f>
        <v/>
      </c>
      <c r="P23" s="10" t="n"/>
    </row>
    <row r="24">
      <c r="A24" s="9" t="n">
        <v>19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1">
        <f>IF(AND(B24="",C24=""),"",IF(AND(OR(B24="",ISNUMBER(MATCH(TRIM(B24),'④ 이미 있는 성분·계열'!$A$3:$A$165,0))),OR(C24="",ISNUMBER(MATCH(TRIM(IF(ISNUMBER(FIND("/",C24)),LEFT(C24,FIND("/",C24)-1),C24)),'④ 이미 있는 성분·계열'!$A$3:$A$165,0)))),"둘 다 목록에 있음","새 성분 → 시트②에 적어 주세요"))</f>
        <v/>
      </c>
      <c r="P24" s="10" t="n"/>
    </row>
    <row r="25">
      <c r="A25" s="9" t="n">
        <v>20</v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1">
        <f>IF(AND(B25="",C25=""),"",IF(AND(OR(B25="",ISNUMBER(MATCH(TRIM(B25),'④ 이미 있는 성분·계열'!$A$3:$A$165,0))),OR(C25="",ISNUMBER(MATCH(TRIM(IF(ISNUMBER(FIND("/",C25)),LEFT(C25,FIND("/",C25)-1),C25)),'④ 이미 있는 성분·계열'!$A$3:$A$165,0)))),"둘 다 목록에 있음","새 성분 → 시트②에 적어 주세요"))</f>
        <v/>
      </c>
      <c r="P25" s="10" t="n"/>
    </row>
    <row r="26">
      <c r="A26" s="9" t="n">
        <v>21</v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1">
        <f>IF(AND(B26="",C26=""),"",IF(AND(OR(B26="",ISNUMBER(MATCH(TRIM(B26),'④ 이미 있는 성분·계열'!$A$3:$A$165,0))),OR(C26="",ISNUMBER(MATCH(TRIM(IF(ISNUMBER(FIND("/",C26)),LEFT(C26,FIND("/",C26)-1),C26)),'④ 이미 있는 성분·계열'!$A$3:$A$165,0)))),"둘 다 목록에 있음","새 성분 → 시트②에 적어 주세요"))</f>
        <v/>
      </c>
      <c r="P26" s="10" t="n"/>
    </row>
    <row r="27">
      <c r="A27" s="9" t="n">
        <v>22</v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1">
        <f>IF(AND(B27="",C27=""),"",IF(AND(OR(B27="",ISNUMBER(MATCH(TRIM(B27),'④ 이미 있는 성분·계열'!$A$3:$A$165,0))),OR(C27="",ISNUMBER(MATCH(TRIM(IF(ISNUMBER(FIND("/",C27)),LEFT(C27,FIND("/",C27)-1),C27)),'④ 이미 있는 성분·계열'!$A$3:$A$165,0)))),"둘 다 목록에 있음","새 성분 → 시트②에 적어 주세요"))</f>
        <v/>
      </c>
      <c r="P27" s="10" t="n"/>
    </row>
    <row r="28">
      <c r="A28" s="9" t="n">
        <v>23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1">
        <f>IF(AND(B28="",C28=""),"",IF(AND(OR(B28="",ISNUMBER(MATCH(TRIM(B28),'④ 이미 있는 성분·계열'!$A$3:$A$165,0))),OR(C28="",ISNUMBER(MATCH(TRIM(IF(ISNUMBER(FIND("/",C28)),LEFT(C28,FIND("/",C28)-1),C28)),'④ 이미 있는 성분·계열'!$A$3:$A$165,0)))),"둘 다 목록에 있음","새 성분 → 시트②에 적어 주세요"))</f>
        <v/>
      </c>
      <c r="P28" s="10" t="n"/>
    </row>
    <row r="29">
      <c r="A29" s="9" t="n">
        <v>24</v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1">
        <f>IF(AND(B29="",C29=""),"",IF(AND(OR(B29="",ISNUMBER(MATCH(TRIM(B29),'④ 이미 있는 성분·계열'!$A$3:$A$165,0))),OR(C29="",ISNUMBER(MATCH(TRIM(IF(ISNUMBER(FIND("/",C29)),LEFT(C29,FIND("/",C29)-1),C29)),'④ 이미 있는 성분·계열'!$A$3:$A$165,0)))),"둘 다 목록에 있음","새 성분 → 시트②에 적어 주세요"))</f>
        <v/>
      </c>
      <c r="P29" s="10" t="n"/>
    </row>
    <row r="30">
      <c r="A30" s="9" t="n">
        <v>25</v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1">
        <f>IF(AND(B30="",C30=""),"",IF(AND(OR(B30="",ISNUMBER(MATCH(TRIM(B30),'④ 이미 있는 성분·계열'!$A$3:$A$165,0))),OR(C30="",ISNUMBER(MATCH(TRIM(IF(ISNUMBER(FIND("/",C30)),LEFT(C30,FIND("/",C30)-1),C30)),'④ 이미 있는 성분·계열'!$A$3:$A$165,0)))),"둘 다 목록에 있음","새 성분 → 시트②에 적어 주세요"))</f>
        <v/>
      </c>
      <c r="P30" s="10" t="n"/>
    </row>
    <row r="31">
      <c r="A31" s="9" t="n">
        <v>26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1">
        <f>IF(AND(B31="",C31=""),"",IF(AND(OR(B31="",ISNUMBER(MATCH(TRIM(B31),'④ 이미 있는 성분·계열'!$A$3:$A$165,0))),OR(C31="",ISNUMBER(MATCH(TRIM(IF(ISNUMBER(FIND("/",C31)),LEFT(C31,FIND("/",C31)-1),C31)),'④ 이미 있는 성분·계열'!$A$3:$A$165,0)))),"둘 다 목록에 있음","새 성분 → 시트②에 적어 주세요"))</f>
        <v/>
      </c>
      <c r="P31" s="10" t="n"/>
    </row>
    <row r="32">
      <c r="A32" s="9" t="n">
        <v>27</v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1">
        <f>IF(AND(B32="",C32=""),"",IF(AND(OR(B32="",ISNUMBER(MATCH(TRIM(B32),'④ 이미 있는 성분·계열'!$A$3:$A$165,0))),OR(C32="",ISNUMBER(MATCH(TRIM(IF(ISNUMBER(FIND("/",C32)),LEFT(C32,FIND("/",C32)-1),C32)),'④ 이미 있는 성분·계열'!$A$3:$A$165,0)))),"둘 다 목록에 있음","새 성분 → 시트②에 적어 주세요"))</f>
        <v/>
      </c>
      <c r="P32" s="10" t="n"/>
    </row>
    <row r="33">
      <c r="A33" s="9" t="n">
        <v>28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1">
        <f>IF(AND(B33="",C33=""),"",IF(AND(OR(B33="",ISNUMBER(MATCH(TRIM(B33),'④ 이미 있는 성분·계열'!$A$3:$A$165,0))),OR(C33="",ISNUMBER(MATCH(TRIM(IF(ISNUMBER(FIND("/",C33)),LEFT(C33,FIND("/",C33)-1),C33)),'④ 이미 있는 성분·계열'!$A$3:$A$165,0)))),"둘 다 목록에 있음","새 성분 → 시트②에 적어 주세요"))</f>
        <v/>
      </c>
      <c r="P33" s="10" t="n"/>
    </row>
    <row r="34">
      <c r="A34" s="9" t="n">
        <v>29</v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1">
        <f>IF(AND(B34="",C34=""),"",IF(AND(OR(B34="",ISNUMBER(MATCH(TRIM(B34),'④ 이미 있는 성분·계열'!$A$3:$A$165,0))),OR(C34="",ISNUMBER(MATCH(TRIM(IF(ISNUMBER(FIND("/",C34)),LEFT(C34,FIND("/",C34)-1),C34)),'④ 이미 있는 성분·계열'!$A$3:$A$165,0)))),"둘 다 목록에 있음","새 성분 → 시트②에 적어 주세요"))</f>
        <v/>
      </c>
      <c r="P34" s="10" t="n"/>
    </row>
    <row r="35">
      <c r="A35" s="9" t="n">
        <v>30</v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1">
        <f>IF(AND(B35="",C35=""),"",IF(AND(OR(B35="",ISNUMBER(MATCH(TRIM(B35),'④ 이미 있는 성분·계열'!$A$3:$A$165,0))),OR(C35="",ISNUMBER(MATCH(TRIM(IF(ISNUMBER(FIND("/",C35)),LEFT(C35,FIND("/",C35)-1),C35)),'④ 이미 있는 성분·계열'!$A$3:$A$165,0)))),"둘 다 목록에 있음","새 성분 → 시트②에 적어 주세요"))</f>
        <v/>
      </c>
      <c r="P35" s="10" t="n"/>
    </row>
    <row r="36">
      <c r="A36" s="9" t="n">
        <v>31</v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1">
        <f>IF(AND(B36="",C36=""),"",IF(AND(OR(B36="",ISNUMBER(MATCH(TRIM(B36),'④ 이미 있는 성분·계열'!$A$3:$A$165,0))),OR(C36="",ISNUMBER(MATCH(TRIM(IF(ISNUMBER(FIND("/",C36)),LEFT(C36,FIND("/",C36)-1),C36)),'④ 이미 있는 성분·계열'!$A$3:$A$165,0)))),"둘 다 목록에 있음","새 성분 → 시트②에 적어 주세요"))</f>
        <v/>
      </c>
      <c r="P36" s="10" t="n"/>
    </row>
    <row r="37">
      <c r="A37" s="9" t="n">
        <v>32</v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1">
        <f>IF(AND(B37="",C37=""),"",IF(AND(OR(B37="",ISNUMBER(MATCH(TRIM(B37),'④ 이미 있는 성분·계열'!$A$3:$A$165,0))),OR(C37="",ISNUMBER(MATCH(TRIM(IF(ISNUMBER(FIND("/",C37)),LEFT(C37,FIND("/",C37)-1),C37)),'④ 이미 있는 성분·계열'!$A$3:$A$165,0)))),"둘 다 목록에 있음","새 성분 → 시트②에 적어 주세요"))</f>
        <v/>
      </c>
      <c r="P37" s="10" t="n"/>
    </row>
    <row r="38">
      <c r="A38" s="9" t="n">
        <v>33</v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1">
        <f>IF(AND(B38="",C38=""),"",IF(AND(OR(B38="",ISNUMBER(MATCH(TRIM(B38),'④ 이미 있는 성분·계열'!$A$3:$A$165,0))),OR(C38="",ISNUMBER(MATCH(TRIM(IF(ISNUMBER(FIND("/",C38)),LEFT(C38,FIND("/",C38)-1),C38)),'④ 이미 있는 성분·계열'!$A$3:$A$165,0)))),"둘 다 목록에 있음","새 성분 → 시트②에 적어 주세요"))</f>
        <v/>
      </c>
      <c r="P38" s="10" t="n"/>
    </row>
    <row r="39">
      <c r="A39" s="9" t="n">
        <v>34</v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1">
        <f>IF(AND(B39="",C39=""),"",IF(AND(OR(B39="",ISNUMBER(MATCH(TRIM(B39),'④ 이미 있는 성분·계열'!$A$3:$A$165,0))),OR(C39="",ISNUMBER(MATCH(TRIM(IF(ISNUMBER(FIND("/",C39)),LEFT(C39,FIND("/",C39)-1),C39)),'④ 이미 있는 성분·계열'!$A$3:$A$165,0)))),"둘 다 목록에 있음","새 성분 → 시트②에 적어 주세요"))</f>
        <v/>
      </c>
      <c r="P39" s="10" t="n"/>
    </row>
    <row r="40">
      <c r="A40" s="9" t="n">
        <v>35</v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1">
        <f>IF(AND(B40="",C40=""),"",IF(AND(OR(B40="",ISNUMBER(MATCH(TRIM(B40),'④ 이미 있는 성분·계열'!$A$3:$A$165,0))),OR(C40="",ISNUMBER(MATCH(TRIM(IF(ISNUMBER(FIND("/",C40)),LEFT(C40,FIND("/",C40)-1),C40)),'④ 이미 있는 성분·계열'!$A$3:$A$165,0)))),"둘 다 목록에 있음","새 성분 → 시트②에 적어 주세요"))</f>
        <v/>
      </c>
      <c r="P40" s="10" t="n"/>
    </row>
    <row r="41">
      <c r="A41" s="9" t="n">
        <v>36</v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1">
        <f>IF(AND(B41="",C41=""),"",IF(AND(OR(B41="",ISNUMBER(MATCH(TRIM(B41),'④ 이미 있는 성분·계열'!$A$3:$A$165,0))),OR(C41="",ISNUMBER(MATCH(TRIM(IF(ISNUMBER(FIND("/",C41)),LEFT(C41,FIND("/",C41)-1),C41)),'④ 이미 있는 성분·계열'!$A$3:$A$165,0)))),"둘 다 목록에 있음","새 성분 → 시트②에 적어 주세요"))</f>
        <v/>
      </c>
      <c r="P41" s="10" t="n"/>
    </row>
    <row r="42">
      <c r="A42" s="9" t="n">
        <v>37</v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1">
        <f>IF(AND(B42="",C42=""),"",IF(AND(OR(B42="",ISNUMBER(MATCH(TRIM(B42),'④ 이미 있는 성분·계열'!$A$3:$A$165,0))),OR(C42="",ISNUMBER(MATCH(TRIM(IF(ISNUMBER(FIND("/",C42)),LEFT(C42,FIND("/",C42)-1),C42)),'④ 이미 있는 성분·계열'!$A$3:$A$165,0)))),"둘 다 목록에 있음","새 성분 → 시트②에 적어 주세요"))</f>
        <v/>
      </c>
      <c r="P42" s="10" t="n"/>
    </row>
    <row r="43">
      <c r="A43" s="9" t="n">
        <v>38</v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1">
        <f>IF(AND(B43="",C43=""),"",IF(AND(OR(B43="",ISNUMBER(MATCH(TRIM(B43),'④ 이미 있는 성분·계열'!$A$3:$A$165,0))),OR(C43="",ISNUMBER(MATCH(TRIM(IF(ISNUMBER(FIND("/",C43)),LEFT(C43,FIND("/",C43)-1),C43)),'④ 이미 있는 성분·계열'!$A$3:$A$165,0)))),"둘 다 목록에 있음","새 성분 → 시트②에 적어 주세요"))</f>
        <v/>
      </c>
      <c r="P43" s="10" t="n"/>
    </row>
    <row r="44">
      <c r="A44" s="9" t="n">
        <v>39</v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1">
        <f>IF(AND(B44="",C44=""),"",IF(AND(OR(B44="",ISNUMBER(MATCH(TRIM(B44),'④ 이미 있는 성분·계열'!$A$3:$A$165,0))),OR(C44="",ISNUMBER(MATCH(TRIM(IF(ISNUMBER(FIND("/",C44)),LEFT(C44,FIND("/",C44)-1),C44)),'④ 이미 있는 성분·계열'!$A$3:$A$165,0)))),"둘 다 목록에 있음","새 성분 → 시트②에 적어 주세요"))</f>
        <v/>
      </c>
      <c r="P44" s="10" t="n"/>
    </row>
    <row r="45">
      <c r="A45" s="9" t="n">
        <v>40</v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1">
        <f>IF(AND(B45="",C45=""),"",IF(AND(OR(B45="",ISNUMBER(MATCH(TRIM(B45),'④ 이미 있는 성분·계열'!$A$3:$A$165,0))),OR(C45="",ISNUMBER(MATCH(TRIM(IF(ISNUMBER(FIND("/",C45)),LEFT(C45,FIND("/",C45)-1),C45)),'④ 이미 있는 성분·계열'!$A$3:$A$165,0)))),"둘 다 목록에 있음","새 성분 → 시트②에 적어 주세요"))</f>
        <v/>
      </c>
      <c r="P45" s="10" t="n"/>
    </row>
  </sheetData>
  <dataValidations count="3">
    <dataValidation sqref="E6:E45" showDropDown="0" showInputMessage="0" showErrorMessage="1" allowBlank="1" errorTitle="목록에서 골라 주세요" error="시트⑤ 용어의 값만 쓸 수 있습니다." type="list">
      <formula1>'⑤ 용어'!$A$3:$A$7</formula1>
    </dataValidation>
    <dataValidation sqref="F6:F45" showDropDown="0" showInputMessage="0" showErrorMessage="1" allowBlank="1" errorTitle="목록에서 골라 주세요" error="시트⑤ 용어의 값만 쓸 수 있습니다." type="list">
      <formula1>'⑤ 용어'!$A$12:$A$15</formula1>
    </dataValidation>
    <dataValidation sqref="D6:D45" showDropDown="0" showInputMessage="0" showErrorMessage="1" allowBlank="1" errorTitle="목록에서 골라 주세요" error="시트⑤ 용어의 값만 쓸 수 있습니다." type="list">
      <formula1>'⑤ 용어'!$A$20:$A$26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6" customWidth="1" min="3" max="3"/>
    <col width="14" customWidth="1" min="4" max="4"/>
    <col width="24" customWidth="1" min="5" max="5"/>
    <col width="22" customWidth="1" min="6" max="6"/>
    <col width="36" customWidth="1" min="7" max="7"/>
  </cols>
  <sheetData>
    <row r="1">
      <c r="A1" s="5" t="inlineStr">
        <is>
          <t>시트④ 목록에 없는 성분·계열만 적어 주세요. 영문명·다른 표기는 사용자가 직접 글자로 입력할 때 찾아 주는 데 쓰입니다.</t>
        </is>
      </c>
    </row>
    <row r="2" ht="40" customHeight="1">
      <c r="A2" s="6" t="inlineStr">
        <is>
          <t>한글 이름 (대표 표기)</t>
        </is>
      </c>
      <c r="B2" s="6" t="inlineStr">
        <is>
          <t>영문 이름</t>
        </is>
      </c>
      <c r="C2" s="6" t="inlineStr">
        <is>
          <t>다른 표기 (쉼표로 구분)</t>
        </is>
      </c>
      <c r="D2" s="6" t="inlineStr">
        <is>
          <t>종류</t>
        </is>
      </c>
      <c r="E2" s="6" t="inlineStr">
        <is>
          <t>속하는 계열 (있으면)</t>
        </is>
      </c>
      <c r="F2" s="6" t="inlineStr">
        <is>
          <t>앱 버튼으로 바로 보이게 할까요?</t>
        </is>
      </c>
      <c r="G2" s="6" t="inlineStr">
        <is>
          <t>출처·비고</t>
        </is>
      </c>
    </row>
    <row r="3">
      <c r="A3" s="7" t="inlineStr">
        <is>
          <t>둘록세틴 (예시 — 이미 있음)</t>
        </is>
      </c>
      <c r="B3" s="7" t="inlineStr">
        <is>
          <t>duloxetine</t>
        </is>
      </c>
      <c r="C3" s="7" t="inlineStr">
        <is>
          <t>둘록세틴염산염, 심발타</t>
        </is>
      </c>
      <c r="D3" s="7" t="inlineStr">
        <is>
          <t>의약품</t>
        </is>
      </c>
      <c r="E3" s="7" t="inlineStr">
        <is>
          <t>SNRI</t>
        </is>
      </c>
      <c r="F3" s="7" t="inlineStr">
        <is>
          <t>아니오 — 「항우울제」 버튼이 SNRI로 풀림</t>
        </is>
      </c>
      <c r="G3" s="7" t="inlineStr">
        <is>
          <t>예시 줄</t>
        </is>
      </c>
    </row>
    <row r="4">
      <c r="A4" s="10" t="n"/>
      <c r="B4" s="10" t="n"/>
      <c r="C4" s="10" t="n"/>
      <c r="D4" s="10" t="n"/>
      <c r="E4" s="10" t="n"/>
      <c r="F4" s="10" t="n"/>
      <c r="G4" s="10" t="n"/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</sheetData>
  <dataValidations count="1">
    <dataValidation sqref="D4:D28" showDropDown="0" showInputMessage="0" showErrorMessage="1" allowBlank="1" errorTitle="목록에서 골라 주세요" error="시트⑤ 용어의 값만 쓸 수 있습니다." type="list">
      <formula1>'⑤ 용어'!$A$56:$A$62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30" customWidth="1" min="4" max="4"/>
    <col width="50" customWidth="1" min="5" max="5"/>
    <col width="50" customWidth="1" min="6" max="6"/>
    <col width="10" customWidth="1" min="7" max="7"/>
    <col width="16" customWidth="1" min="8" max="8"/>
    <col width="36" customWidth="1" min="9" max="9"/>
  </cols>
  <sheetData>
    <row r="1">
      <c r="A1" s="5" t="inlineStr">
        <is>
          <t>데이터베이스에 이미 있는 조합 70건 (2026-10 기준). 같은 조합은 시트①에 다시 적지 말고, 고칠 점이 있으면 「의견」에 적어 주세요.</t>
        </is>
      </c>
    </row>
    <row r="2">
      <c r="A2" s="6" t="inlineStr">
        <is>
          <t>번호</t>
        </is>
      </c>
      <c r="B2" s="6" t="inlineStr">
        <is>
          <t>등급</t>
        </is>
      </c>
      <c r="C2" s="6" t="inlineStr">
        <is>
          <t>근거 수준</t>
        </is>
      </c>
      <c r="D2" s="6" t="inlineStr">
        <is>
          <t>조합</t>
        </is>
      </c>
      <c r="E2" s="6" t="inlineStr">
        <is>
          <t>무슨 일이 (화면)</t>
        </is>
      </c>
      <c r="F2" s="6" t="inlineStr">
        <is>
          <t>어떻게 하면 (화면)</t>
        </is>
      </c>
      <c r="G2" s="6" t="inlineStr">
        <is>
          <t>시간 간격</t>
        </is>
      </c>
      <c r="H2" s="6" t="inlineStr">
        <is>
          <t>출처</t>
        </is>
      </c>
      <c r="I2" s="6" t="inlineStr">
        <is>
          <t>의견 (고칠 점이 있으면)</t>
        </is>
      </c>
    </row>
    <row r="3">
      <c r="A3" s="9" t="n">
        <v>1</v>
      </c>
      <c r="B3" s="9" t="inlineStr">
        <is>
          <t>주의</t>
        </is>
      </c>
      <c r="C3" s="9" t="inlineStr">
        <is>
          <t>이론적</t>
        </is>
      </c>
      <c r="D3" s="9" t="inlineStr">
        <is>
          <t>항암제 × 고용량 항산화제</t>
        </is>
      </c>
      <c r="E3" s="9" t="inlineStr">
        <is>
          <t>고용량 비타민 C·E 같은 항산화제가 일부 항암제의 작용을 간섭할 수 있다는 우려가 있습니다.</t>
        </is>
      </c>
      <c r="F3" s="9" t="inlineStr">
        <is>
          <t>항암치료 중에는 고용량 항산화 제품을 스스로 시작하지 마시고, 종양내과 담당 선생님께 먼저 확인해 주세요.</t>
        </is>
      </c>
      <c r="G3" s="9" t="n"/>
      <c r="H3" s="9" t="inlineStr">
        <is>
          <t>부록 §4 p.379</t>
        </is>
      </c>
      <c r="I3" s="10" t="n"/>
    </row>
    <row r="4">
      <c r="A4" s="9" t="n">
        <v>2</v>
      </c>
      <c r="B4" s="9" t="inlineStr">
        <is>
          <t>주의</t>
        </is>
      </c>
      <c r="C4" s="9" t="inlineStr">
        <is>
          <t>엇갈림</t>
        </is>
      </c>
      <c r="D4" s="9" t="inlineStr">
        <is>
          <t>항혈전제 × 은행잎</t>
        </is>
      </c>
      <c r="E4" s="9" t="inlineStr">
        <is>
          <t>은행잎은 이명에 대한 근거가 엇갈리는 데 비해 출혈 위험은 분명합니다. 항혈전제와 겹치면 이득보다 위험이 앞섭니다.</t>
        </is>
      </c>
      <c r="F4" s="9" t="inlineStr">
        <is>
          <t>이명이 있으시면 은행잎 대신 다른 보조 방법을 담당 선생님과 상의하시고, 갑작스러운 청력 변화는 바로 진료를 받아 주세요.</t>
        </is>
      </c>
      <c r="G4" s="9" t="n"/>
      <c r="H4" s="9" t="inlineStr">
        <is>
          <t>부록 §4 p.377</t>
        </is>
      </c>
      <c r="I4" s="10" t="n"/>
    </row>
    <row r="5">
      <c r="A5" s="9" t="n">
        <v>3</v>
      </c>
      <c r="B5" s="9" t="inlineStr">
        <is>
          <t>주의</t>
        </is>
      </c>
      <c r="C5" s="9" t="inlineStr">
        <is>
          <t>엇갈림</t>
        </is>
      </c>
      <c r="D5" s="9" t="inlineStr">
        <is>
          <t>타목시펜 × 블랙코호시</t>
        </is>
      </c>
      <c r="E5" s="9" t="inlineStr">
        <is>
          <t>블랙코호시가 에스트로겐 경로로 작용하는지 아닌지에 대해 견해가 엇갈리고, 간독성 보고도 있습니다. 그래서 호르몬 치료를 받는 분에게는 스스로 판단해 시작하기 어려운 소재입니다.</t>
        </is>
      </c>
      <c r="F5" s="9" t="inlineStr">
        <is>
          <t>갱년기 증상이 힘드시면 이 제품을 임의로 시작하기보다 종양내과·산부인과와 상의해 주세요. 간 수치 확인도 함께 이야기하시면 좋습니다.</t>
        </is>
      </c>
      <c r="G5" s="9" t="n"/>
      <c r="H5" s="9" t="inlineStr">
        <is>
          <t>부록 §3 p.350</t>
        </is>
      </c>
      <c r="I5" s="10" t="n"/>
    </row>
    <row r="6">
      <c r="A6" s="9" t="n">
        <v>4</v>
      </c>
      <c r="B6" s="9" t="inlineStr">
        <is>
          <t>주의</t>
        </is>
      </c>
      <c r="C6" s="9" t="inlineStr">
        <is>
          <t>이론적</t>
        </is>
      </c>
      <c r="D6" s="9" t="inlineStr">
        <is>
          <t>면역억제제 × 프로바이오틱스</t>
        </is>
      </c>
      <c r="E6" s="9" t="inlineStr">
        <is>
          <t>면역이 낮아진 상태에서는 살아 있는 균이 드물게 혈류로 넘어가 문제를 일으킬 수 있습니다. 그래서 건강한 분과 같은 기준으로 판단하지 않습니다.</t>
        </is>
      </c>
      <c r="F6" s="9" t="inlineStr">
        <is>
          <t>장 건강이 필요하시면 생균 제품을 스스로 고르기보다 담당 선생님과 먼저 상의해 주세요.</t>
        </is>
      </c>
      <c r="G6" s="9" t="n"/>
      <c r="H6" s="9" t="inlineStr">
        <is>
          <t>부록 §1 p.340</t>
        </is>
      </c>
      <c r="I6" s="10" t="n"/>
    </row>
    <row r="7">
      <c r="A7" s="9" t="n">
        <v>5</v>
      </c>
      <c r="B7" s="9" t="inlineStr">
        <is>
          <t>주의</t>
        </is>
      </c>
      <c r="C7" s="9" t="inlineStr">
        <is>
          <t>제한적</t>
        </is>
      </c>
      <c r="D7" s="9" t="inlineStr">
        <is>
          <t>와파린 × 크랜베리</t>
        </is>
      </c>
      <c r="E7" s="9" t="inlineStr">
        <is>
          <t>크랜베리를 함께 드신 뒤 INR이 올라갔다는 보고가 있습니다. INR이 높아지면 출혈 위험이 커집니다.</t>
        </is>
      </c>
      <c r="F7" s="9" t="inlineStr">
        <is>
          <t>요로감염 예방 목적으로 크랜베리를 고려하신다면, 와파린 복용 사실을 알리고 다른 방법이 있는지 담당 선생님과 먼저 상의해 주세요.</t>
        </is>
      </c>
      <c r="G7" s="9" t="n"/>
      <c r="H7" s="9" t="inlineStr">
        <is>
          <t>부록 §4 p.358</t>
        </is>
      </c>
      <c r="I7" s="10" t="n"/>
    </row>
    <row r="8">
      <c r="A8" s="9" t="n">
        <v>6</v>
      </c>
      <c r="B8" s="9" t="inlineStr">
        <is>
          <t>주의</t>
        </is>
      </c>
      <c r="C8" s="9" t="inlineStr">
        <is>
          <t>제한적</t>
        </is>
      </c>
      <c r="D8" s="9" t="inlineStr">
        <is>
          <t>와파린 × 글루코사민</t>
        </is>
      </c>
      <c r="E8" s="9" t="inlineStr">
        <is>
          <t>관절용으로 흔히 쓰이는 글루코사민을 와파린과 함께 드신 뒤 INR이 상승한 사례가 보고되어 있습니다. INR이 높아지면 출혈 위험이 커집니다.</t>
        </is>
      </c>
      <c r="F8" s="9" t="inlineStr">
        <is>
          <t>무릎 관절 보조가 필요하시면 담당 선생님과 다른 선택지를 상의하시고, 이미 시작하셨다면 INR을 다시 확인하는 것이 좋습니다.</t>
        </is>
      </c>
      <c r="G8" s="9" t="n"/>
      <c r="H8" s="9" t="inlineStr">
        <is>
          <t>부록 §4 p.354</t>
        </is>
      </c>
      <c r="I8" s="10" t="n"/>
    </row>
    <row r="9">
      <c r="A9" s="9" t="n">
        <v>7</v>
      </c>
      <c r="B9" s="9" t="inlineStr">
        <is>
          <t>금기</t>
        </is>
      </c>
      <c r="C9" s="9" t="inlineStr">
        <is>
          <t>확립</t>
        </is>
      </c>
      <c r="D9" s="9" t="inlineStr">
        <is>
          <t>아미오다론 × 요오드 × 켈프</t>
        </is>
      </c>
      <c r="E9" s="9" t="inlineStr">
        <is>
          <t>아미오다론 자체가 많은 양의 요오드를 가지고 있어 갑상선 기능 이상을 일으킬 수 있습니다. 여기에 요오드를 더 넣으면 갑상선에 부담이 더해집니다.</t>
        </is>
      </c>
      <c r="F9" s="9" t="inlineStr">
        <is>
          <t>켈프·다시마·해조류가 든 제품과 요오드 강화 종합비타민의 성분표를 확인해 주시고, 정기 갑상선기능검사를 담당 선생님과 계획해 주세요.</t>
        </is>
      </c>
      <c r="G9" s="9" t="n"/>
      <c r="H9" s="9" t="inlineStr">
        <is>
          <t>부록 §4 p.355</t>
        </is>
      </c>
      <c r="I9" s="10" t="n"/>
    </row>
    <row r="10">
      <c r="A10" s="9" t="n">
        <v>8</v>
      </c>
      <c r="B10" s="9" t="inlineStr">
        <is>
          <t>금기</t>
        </is>
      </c>
      <c r="C10" s="9" t="inlineStr">
        <is>
          <t>확립</t>
        </is>
      </c>
      <c r="D10" s="9" t="inlineStr">
        <is>
          <t>항암제 × 세인트존스워트</t>
        </is>
      </c>
      <c r="E10" s="9" t="inlineStr">
        <is>
          <t>세인트존스워트는 여러 항암제의 대사를 촉진해 혈중 농도를 낮춥니다. 그러면 항암 효과가 떨어질 수 있습니다.</t>
        </is>
      </c>
      <c r="F10" s="9" t="inlineStr">
        <is>
          <t>치료 중에는 어떤 건강기능식품이든 종양내과와 먼저 상의하시고, 특히 기분 개선용 수입 제품의 성분표를 확인해 주세요.</t>
        </is>
      </c>
      <c r="G10" s="9" t="n"/>
      <c r="H10" s="9" t="inlineStr">
        <is>
          <t>부록 §4 p.379</t>
        </is>
      </c>
      <c r="I10" s="10" t="n"/>
    </row>
    <row r="11">
      <c r="A11" s="9" t="n">
        <v>9</v>
      </c>
      <c r="B11" s="9" t="inlineStr">
        <is>
          <t>금기</t>
        </is>
      </c>
      <c r="C11" s="9" t="inlineStr">
        <is>
          <t>확립</t>
        </is>
      </c>
      <c r="D11" s="9" t="inlineStr">
        <is>
          <t>항경련제 × 은행잎</t>
        </is>
      </c>
      <c r="E11" s="9" t="inlineStr">
        <is>
          <t>은행잎은 발작이 일어나는 문턱(역치)을 낮추는 것으로 정리되어 있습니다. 뇌전증이 있으신 분에게는 발작 위험이 됩니다.</t>
        </is>
      </c>
      <c r="F11" s="9" t="inlineStr">
        <is>
          <t>기억력·혈행 제품에 은행잎이 들어 있는지 성분표를 꼭 확인해 주시고, 담당 선생님께 복용 중인 모든 제품을 알려 주세요.</t>
        </is>
      </c>
      <c r="G11" s="9" t="n"/>
      <c r="H11" s="9" t="inlineStr">
        <is>
          <t>부록 §4 p.365</t>
        </is>
      </c>
      <c r="I11" s="10" t="n"/>
    </row>
    <row r="12">
      <c r="A12" s="9" t="n">
        <v>10</v>
      </c>
      <c r="B12" s="9" t="inlineStr">
        <is>
          <t>금기</t>
        </is>
      </c>
      <c r="C12" s="9" t="inlineStr">
        <is>
          <t>확립</t>
        </is>
      </c>
      <c r="D12" s="9" t="inlineStr">
        <is>
          <t>항경련제 × 카바</t>
        </is>
      </c>
      <c r="E12" s="9" t="inlineStr">
        <is>
          <t>카바는 항경련제를 드시는 분에게 절대 회피 대상으로 정리되어 있습니다.</t>
        </is>
      </c>
      <c r="F12" s="9" t="inlineStr">
        <is>
          <t>긴장 완화용 수입 제품 성분표에 카바(kava)가 있는지 확인해 주시고, 담당 선생님께 알려 주세요.</t>
        </is>
      </c>
      <c r="G12" s="9" t="n"/>
      <c r="H12" s="9" t="inlineStr">
        <is>
          <t>부록 §4 p.365</t>
        </is>
      </c>
      <c r="I12" s="10" t="n"/>
    </row>
    <row r="13">
      <c r="A13" s="9" t="n">
        <v>11</v>
      </c>
      <c r="B13" s="9" t="inlineStr">
        <is>
          <t>금기</t>
        </is>
      </c>
      <c r="C13" s="9" t="inlineStr">
        <is>
          <t>확립</t>
        </is>
      </c>
      <c r="D13" s="9" t="inlineStr">
        <is>
          <t>항경련제 × 세인트존스워트</t>
        </is>
      </c>
      <c r="E13" s="9" t="inlineStr">
        <is>
          <t>세인트존스워트가 약물 대사를 촉진해 항경련제가 빨리 분해되면, 혈중 농도가 낮아져 조절되던 발작이 다시 나타날 수 있습니다.</t>
        </is>
      </c>
      <c r="F13" s="9" t="inlineStr">
        <is>
          <t>기분 개선용 제품의 성분표를 확인해 주시고, 담당 선생님께 복용 중인 모든 제품을 알려 주세요.</t>
        </is>
      </c>
      <c r="G13" s="9" t="n"/>
      <c r="H13" s="9" t="inlineStr">
        <is>
          <t>부록 §4 p.365</t>
        </is>
      </c>
      <c r="I13" s="10" t="n"/>
    </row>
    <row r="14">
      <c r="A14" s="9" t="n">
        <v>12</v>
      </c>
      <c r="B14" s="9" t="inlineStr">
        <is>
          <t>금기</t>
        </is>
      </c>
      <c r="C14" s="9" t="inlineStr">
        <is>
          <t>확립</t>
        </is>
      </c>
      <c r="D14" s="9" t="inlineStr">
        <is>
          <t>항레트로바이러스제 × 세인트존스워트</t>
        </is>
      </c>
      <c r="E14" s="9" t="inlineStr">
        <is>
          <t>세인트존스워트가 프로테아제억제제·NNRTI의 혈중 농도를 낮춰 바이러스가 약에 내성을 갖게 될 수 있습니다.</t>
        </is>
      </c>
      <c r="F14" s="9" t="inlineStr">
        <is>
          <t>새 보충제를 시작하기 전에 반드시 담당 선생님께 성분을 확인받아 주세요.</t>
        </is>
      </c>
      <c r="G14" s="9" t="n"/>
      <c r="H14" s="9" t="inlineStr">
        <is>
          <t>부록 §4 p.379</t>
        </is>
      </c>
      <c r="I14" s="10" t="n"/>
    </row>
    <row r="15">
      <c r="A15" s="9" t="n">
        <v>13</v>
      </c>
      <c r="B15" s="9" t="inlineStr">
        <is>
          <t>금기</t>
        </is>
      </c>
      <c r="C15" s="9" t="inlineStr">
        <is>
          <t>확립</t>
        </is>
      </c>
      <c r="D15" s="9" t="inlineStr">
        <is>
          <t>만성콩팥병(3~4기·중증) × 스타프루트</t>
        </is>
      </c>
      <c r="E15" s="9" t="inlineStr">
        <is>
          <t>스타프루트에는 신장 기능이 떨어진 분에게 신경 독성을 일으킬 수 있는 성분이 들어 있습니다.</t>
        </is>
      </c>
      <c r="F15" s="9" t="inlineStr">
        <is>
          <t>열대과일 주스나 혼합 과일 제품에 들어 있을 수 있으니 원재료를 확인해 주세요.</t>
        </is>
      </c>
      <c r="G15" s="9" t="n"/>
      <c r="H15" s="9" t="inlineStr">
        <is>
          <t>부록 §4 p.361</t>
        </is>
      </c>
      <c r="I15" s="10" t="n"/>
    </row>
    <row r="16">
      <c r="A16" s="9" t="n">
        <v>14</v>
      </c>
      <c r="B16" s="9" t="inlineStr">
        <is>
          <t>금기</t>
        </is>
      </c>
      <c r="C16" s="9" t="inlineStr">
        <is>
          <t>확립</t>
        </is>
      </c>
      <c r="D16" s="9" t="inlineStr">
        <is>
          <t>디곡신 × 감초</t>
        </is>
      </c>
      <c r="E16" s="9" t="inlineStr">
        <is>
          <t>감초는 몸의 칼륨을 떨어뜨립니다. 칼륨이 낮아지면 디곡신의 독성이 커져 부정맥이 나타날 위험이 높아집니다.</t>
        </is>
      </c>
      <c r="F16" s="9" t="inlineStr">
        <is>
          <t>한방 제제나 목·소화용 제품에 감초가 들어 있는 경우가 많으니 성분표를 확인해 주시고, 담당 선생님께 복용 중인 모든 제품을 알려 주세요.</t>
        </is>
      </c>
      <c r="G16" s="9" t="n"/>
      <c r="H16" s="9" t="inlineStr">
        <is>
          <t>부록 §4 p.354</t>
        </is>
      </c>
      <c r="I16" s="10" t="n"/>
    </row>
    <row r="17">
      <c r="A17" s="9" t="n">
        <v>15</v>
      </c>
      <c r="B17" s="9" t="inlineStr">
        <is>
          <t>금기</t>
        </is>
      </c>
      <c r="C17" s="9" t="inlineStr">
        <is>
          <t>확립</t>
        </is>
      </c>
      <c r="D17" s="9" t="inlineStr">
        <is>
          <t>SSRI × SNRI × 5-HTP</t>
        </is>
      </c>
      <c r="E17" s="9" t="inlineStr">
        <is>
          <t>5-HTP는 몸 안에서 세로토닌으로 바뀌는 원료입니다. 세로토닌을 올리는 항우울제와 겹치면 세로토닌이 과다해질 수 있습니다.</t>
        </is>
      </c>
      <c r="F17" s="9" t="inlineStr">
        <is>
          <t>수면·기분용으로 5-HTP가 든 제품을 고려하신다면, 처방 항우울제 복용 사실을 담당 선생님께 먼저 알리고 상의해 주세요.</t>
        </is>
      </c>
      <c r="G17" s="9" t="n"/>
      <c r="H17" s="9" t="inlineStr">
        <is>
          <t>부록 §4 p.381</t>
        </is>
      </c>
      <c r="I17" s="10" t="n"/>
    </row>
    <row r="18">
      <c r="A18" s="9" t="n">
        <v>16</v>
      </c>
      <c r="B18" s="9" t="inlineStr">
        <is>
          <t>금기</t>
        </is>
      </c>
      <c r="C18" s="9" t="inlineStr">
        <is>
          <t>확립</t>
        </is>
      </c>
      <c r="D18" s="9" t="inlineStr">
        <is>
          <t>면역억제제 × 자몽</t>
        </is>
      </c>
      <c r="E18" s="9" t="inlineStr">
        <is>
          <t>자몽은 약물 분해 효소를 막아 면역억제제의 혈중 농도를 올립니다. 농도가 높아지면 신장에 부담(신독성)이 갈 수 있습니다.</t>
        </is>
      </c>
      <c r="F18" s="9" t="inlineStr">
        <is>
          <t>자몽 생과일과 주스 모두 해당됩니다. 정기 약물 농도 검사를 담당 선생님과 계획해 주세요.</t>
        </is>
      </c>
      <c r="G18" s="9" t="n"/>
      <c r="H18" s="9" t="inlineStr">
        <is>
          <t>부록 §4 p.361</t>
        </is>
      </c>
      <c r="I18" s="10" t="n"/>
    </row>
    <row r="19">
      <c r="A19" s="9" t="n">
        <v>17</v>
      </c>
      <c r="B19" s="9" t="inlineStr">
        <is>
          <t>금기</t>
        </is>
      </c>
      <c r="C19" s="9" t="inlineStr">
        <is>
          <t>확립</t>
        </is>
      </c>
      <c r="D19" s="9" t="inlineStr">
        <is>
          <t>면역억제제 × 세인트존스워트</t>
        </is>
      </c>
      <c r="E19" s="9" t="inlineStr">
        <is>
          <t>세인트존스워트가 면역억제제의 대사를 촉진해 혈중 농도를 떨어뜨립니다. 농도가 낮아지면 이식 장기의 거부반응 위험이 커집니다.</t>
        </is>
      </c>
      <c r="F19" s="9" t="inlineStr">
        <is>
          <t>수입 기분 개선 제품에 특히 자주 들어갑니다. 성분표를 확인해 주시고, 새 제품은 반드시 이식·류마티스 담당 선생님과 먼저 상의해 주세요.</t>
        </is>
      </c>
      <c r="G19" s="9" t="n"/>
      <c r="H19" s="9" t="inlineStr">
        <is>
          <t>부록 §4 p.361</t>
        </is>
      </c>
      <c r="I19" s="10" t="n"/>
    </row>
    <row r="20">
      <c r="A20" s="9" t="n">
        <v>18</v>
      </c>
      <c r="B20" s="9" t="inlineStr">
        <is>
          <t>금기</t>
        </is>
      </c>
      <c r="C20" s="9" t="inlineStr">
        <is>
          <t>확립</t>
        </is>
      </c>
      <c r="D20" s="9" t="inlineStr">
        <is>
          <t>타목시펜 × 이소플라본</t>
        </is>
      </c>
      <c r="E20" s="9" t="inlineStr">
        <is>
          <t>이소플라본은 여성호르몬(에스트로겐)과 비슷하게 수용체에 부분적으로 달라붙습니다. 타목시펜은 반대로 그 수용체를 막아 작용하는 약이라, 두 가지가 같은 자리를 두고 부딪히면 항에스트로겐 효과가 흐려질 우려가 있습니다.</t>
        </is>
      </c>
      <c r="F20" s="9" t="inlineStr">
        <is>
          <t>갱년기 증상 완화를 위한 이소플라본·대두 농축 제품은 종양내과와 먼저 상의해 주세요. 책은 비호르몬적인 방법을 먼저 검토하도록 안내합니다.</t>
        </is>
      </c>
      <c r="G20" s="9" t="n"/>
      <c r="H20" s="9" t="inlineStr">
        <is>
          <t>부록 §3 p.348</t>
        </is>
      </c>
      <c r="I20" s="10" t="n"/>
    </row>
    <row r="21">
      <c r="A21" s="9" t="n">
        <v>19</v>
      </c>
      <c r="B21" s="9" t="inlineStr">
        <is>
          <t>금기</t>
        </is>
      </c>
      <c r="C21" s="9" t="inlineStr">
        <is>
          <t>확립</t>
        </is>
      </c>
      <c r="D21" s="9" t="inlineStr">
        <is>
          <t>임신 × 비타민 A</t>
        </is>
      </c>
      <c r="E21" s="9" t="inlineStr">
        <is>
          <t>레티놀 형태의 비타민 A는 고용량(대체로 하루 1만 IU 이상)에서 태아 기형 위험과 연관됩니다.</t>
        </is>
      </c>
      <c r="F21" s="9" t="inlineStr">
        <is>
          <t>고용량 레티놀이 든 종합비타민 대신 임산부 전용 제제나 베타카로틴 형태를 고려하시고, 산부인과와 먼저 상의해 주세요.</t>
        </is>
      </c>
      <c r="G21" s="9" t="n"/>
      <c r="H21" s="9" t="inlineStr">
        <is>
          <t>부록 §3 p.349</t>
        </is>
      </c>
      <c r="I21" s="10" t="n"/>
    </row>
    <row r="22">
      <c r="A22" s="9" t="n">
        <v>20</v>
      </c>
      <c r="B22" s="9" t="inlineStr">
        <is>
          <t>금기</t>
        </is>
      </c>
      <c r="C22" s="9" t="inlineStr">
        <is>
          <t>확립</t>
        </is>
      </c>
      <c r="D22" s="9" t="inlineStr">
        <is>
          <t>임신 × 홍국</t>
        </is>
      </c>
      <c r="E22" s="9" t="inlineStr">
        <is>
          <t>홍국은 스타틴과 같은 방식으로 콜레스테롤 합성을 막는 소재로, 임신 중에는 사용하지 않도록 정리되어 있습니다.</t>
        </is>
      </c>
      <c r="F22" s="9" t="inlineStr">
        <is>
          <t>콜레스테롤 관리가 필요하시면 임신 중 사용 가능한 방법을 산부인과와 상의해 주세요.</t>
        </is>
      </c>
      <c r="G22" s="9" t="n"/>
      <c r="H22" s="9" t="inlineStr">
        <is>
          <t>부록 §5 p.388</t>
        </is>
      </c>
      <c r="I22" s="10" t="n"/>
    </row>
    <row r="23">
      <c r="A23" s="9" t="n">
        <v>21</v>
      </c>
      <c r="B23" s="9" t="inlineStr">
        <is>
          <t>금기</t>
        </is>
      </c>
      <c r="C23" s="9" t="inlineStr">
        <is>
          <t>확립</t>
        </is>
      </c>
      <c r="D23" s="9" t="inlineStr">
        <is>
          <t>스타틴 × 홍국</t>
        </is>
      </c>
      <c r="E23" s="9" t="inlineStr">
        <is>
          <t>홍국의 활성성분 모나콜린 K는 로바스타틴과 같은 구조로, 콜레스테롤 합성 효소를 막는 방식이 스타틴과 똑같습니다. 스타틴을 드시는 중에 홍국을 더하면 스타틴 용량을 몰래 올린 것과 같아져 근육통·근육 손상(횡문근융해)·간효소 상승 위험이 커집니다.</t>
        </is>
      </c>
      <c r="F23" s="9" t="inlineStr">
        <is>
          <t>'천연 콜레스테롤 제품'으로 소개되는 제품이라도 성분표에 홍국이나 모나콜린 K가 있으면 스타틴과 겹칩니다. 담당 의사·약사에게 스타틴 복용 사실을 알리고 다른 방법을 상의해 주세요.</t>
        </is>
      </c>
      <c r="G23" s="9" t="n"/>
      <c r="H23" s="9" t="inlineStr">
        <is>
          <t>부록 §3 p.343</t>
        </is>
      </c>
      <c r="I23" s="10" t="n"/>
    </row>
    <row r="24">
      <c r="A24" s="9" t="n">
        <v>22</v>
      </c>
      <c r="B24" s="9" t="inlineStr">
        <is>
          <t>금기</t>
        </is>
      </c>
      <c r="C24" s="9" t="inlineStr">
        <is>
          <t>확립</t>
        </is>
      </c>
      <c r="D24" s="9" t="inlineStr">
        <is>
          <t>SSRI × SNRI × 세인트존스워트</t>
        </is>
      </c>
      <c r="E24" s="9" t="inlineStr">
        <is>
          <t>두 가지 모두 뇌의 세로토닌을 높이는 방향으로 작용해, 함께 쓰면 세로토닌이 과하게 늘어날 수 있습니다. 떨림·발한·불안·심박 증가 같은 증상이 나타날 수 있고, 약물 대사에도 영향을 줍니다.</t>
        </is>
      </c>
      <c r="F24" s="9" t="inlineStr">
        <is>
          <t>기분 개선을 표방하는 수입 제품에 세인트존스워트가 들어 있는 경우가 많으니 성분표를 확인해 주시고, 처방 항우울제를 드시는 중이라면 담당 선생님과 먼저 상의해 주세요.</t>
        </is>
      </c>
      <c r="G24" s="9" t="n"/>
      <c r="H24" s="9" t="inlineStr">
        <is>
          <t>부록 §4 p.381</t>
        </is>
      </c>
      <c r="I24" s="10" t="n"/>
    </row>
    <row r="25">
      <c r="A25" s="9" t="n">
        <v>23</v>
      </c>
      <c r="B25" s="9" t="inlineStr">
        <is>
          <t>금기</t>
        </is>
      </c>
      <c r="C25" s="9" t="inlineStr">
        <is>
          <t>확립</t>
        </is>
      </c>
      <c r="D25" s="9" t="inlineStr">
        <is>
          <t>타목시펜 × 세인트존스워트</t>
        </is>
      </c>
      <c r="E25" s="9" t="inlineStr">
        <is>
          <t>세인트존스워트는 간의 약물 대사 효소(CYP3A4)를 강하게 활성화시킵니다. 그 결과 타목시펜의 대사와 혈중 농도가 달라져 치료 효과가 약해질 수 있습니다.</t>
        </is>
      </c>
      <c r="F25" s="9" t="inlineStr">
        <is>
          <t>기분·우울 관련 제품을 고르실 때 성분표에 세인트존스워트(성요한초)가 있는지 확인해 주시고, 종양내과 담당 선생님과 먼저 상의해 주세요.</t>
        </is>
      </c>
      <c r="G25" s="9" t="n"/>
      <c r="H25" s="9" t="inlineStr">
        <is>
          <t>부록 §3 p.348</t>
        </is>
      </c>
      <c r="I25" s="10" t="n"/>
    </row>
    <row r="26">
      <c r="A26" s="9" t="n">
        <v>24</v>
      </c>
      <c r="B26" s="9" t="inlineStr">
        <is>
          <t>주의</t>
        </is>
      </c>
      <c r="C26" s="9" t="inlineStr">
        <is>
          <t>확립</t>
        </is>
      </c>
      <c r="D26" s="9" t="inlineStr">
        <is>
          <t>아미오다론 × 세인트존스워트</t>
        </is>
      </c>
      <c r="E26" s="9" t="inlineStr">
        <is>
          <t>아미오다론은 햇빛에 예민해지는 부작용이 있는데, 세인트존스워트도 광과민을 일으킵니다. 여기에 약물 대사 효소를 유도해 아미오다론의 농도에도 영향을 줍니다.</t>
        </is>
      </c>
      <c r="F26" s="9" t="inlineStr">
        <is>
          <t>기분·수면용 수입 제품의 성분표를 확인해 주시고, 자외선 차단에도 신경 써 주세요.</t>
        </is>
      </c>
      <c r="G26" s="9" t="n"/>
      <c r="H26" s="9" t="inlineStr">
        <is>
          <t>부록 §4 p.355</t>
        </is>
      </c>
      <c r="I26" s="10" t="n"/>
    </row>
    <row r="27">
      <c r="A27" s="9" t="n">
        <v>25</v>
      </c>
      <c r="B27" s="9" t="inlineStr">
        <is>
          <t>주의</t>
        </is>
      </c>
      <c r="C27" s="9" t="inlineStr">
        <is>
          <t>확립</t>
        </is>
      </c>
      <c r="D27" s="9" t="inlineStr">
        <is>
          <t>혈당강하제 × 바나바잎</t>
        </is>
      </c>
      <c r="E27" s="9" t="inlineStr">
        <is>
          <t>바나바잎의 코로솔산은 포도당을 세포로 들여보내는 경로를 활성화해 혈당을 낮춥니다. 인슐린이나 설폰요소제 같은 약과 방향이 같아 혈당이 필요 이상으로 떨어질 수 있습니다.</t>
        </is>
      </c>
      <c r="F27" s="9" t="inlineStr">
        <is>
          <t>도입하신다면 저용량부터 시작하고 자가 혈당 측정을 늘려 주세요. 떨림·식은땀·어지러움이 있으면 저혈당을 의심하시고, 약 용량 조정은 담당 선생님과 상의해 주세요.</t>
        </is>
      </c>
      <c r="G27" s="9" t="n"/>
      <c r="H27" s="9" t="inlineStr">
        <is>
          <t>부록 §3 p.343</t>
        </is>
      </c>
      <c r="I27" s="10" t="n"/>
    </row>
    <row r="28">
      <c r="A28" s="9" t="n">
        <v>26</v>
      </c>
      <c r="B28" s="9" t="inlineStr">
        <is>
          <t>주의</t>
        </is>
      </c>
      <c r="C28" s="9" t="inlineStr">
        <is>
          <t>확립</t>
        </is>
      </c>
      <c r="D28" s="9" t="inlineStr">
        <is>
          <t>혈당강하제 × 여주</t>
        </is>
      </c>
      <c r="E28" s="9" t="inlineStr">
        <is>
          <t>여주는 인슐린과 비슷한 작용으로 혈당을 낮춥니다. 설폰요소제나 인슐린과 더해지면 혈당이 지나치게 떨어질 수 있습니다.</t>
        </is>
      </c>
      <c r="F28" s="9" t="inlineStr">
        <is>
          <t>공복에 드시는 것은 피하시고, 도입 초기에는 혈당 일지를 기록해 주세요. 저혈당 증상 교육도 함께 받으시면 좋습니다.</t>
        </is>
      </c>
      <c r="G28" s="9" t="n"/>
      <c r="H28" s="9" t="inlineStr">
        <is>
          <t>부록 §3 p.343</t>
        </is>
      </c>
      <c r="I28" s="10" t="n"/>
    </row>
    <row r="29">
      <c r="A29" s="9" t="n">
        <v>27</v>
      </c>
      <c r="B29" s="9" t="inlineStr">
        <is>
          <t>주의</t>
        </is>
      </c>
      <c r="C29" s="9" t="inlineStr">
        <is>
          <t>확립</t>
        </is>
      </c>
      <c r="D29" s="9" t="inlineStr">
        <is>
          <t>항혈소판제 × 은행잎 × 오메가-3 × 나토키나제 × 마늘 × 비타민 E</t>
        </is>
      </c>
      <c r="E29" s="9" t="inlineStr">
        <is>
          <t>이 소재들은 모두 혈액이 뭉치는 것을 억제하는 방향으로 작용합니다. 항혈소판제와 방향이 같아 출혈 위험이 더해집니다.</t>
        </is>
      </c>
      <c r="F29" s="9" t="inlineStr">
        <is>
          <t>혈행 개선을 표방하는 제품에 이 성분들이 자주 들어갑니다. 성분표를 확인해 주시고, 멍·코피·잇몸 출혈이 늘면 담당 선생님께 알려 주세요.</t>
        </is>
      </c>
      <c r="G29" s="9" t="n"/>
      <c r="H29" s="9" t="inlineStr">
        <is>
          <t>부록 §4 p.381</t>
        </is>
      </c>
      <c r="I29" s="10" t="n"/>
    </row>
    <row r="30">
      <c r="A30" s="9" t="n">
        <v>28</v>
      </c>
      <c r="B30" s="9" t="inlineStr">
        <is>
          <t>주의</t>
        </is>
      </c>
      <c r="C30" s="9" t="inlineStr">
        <is>
          <t>확립</t>
        </is>
      </c>
      <c r="D30" s="9" t="inlineStr">
        <is>
          <t>항혈전제 × 오메가-3 × 비타민 E</t>
        </is>
      </c>
      <c r="E30" s="9" t="inlineStr">
        <is>
          <t>둘 다 항응고 방향의 작용을 가지고 있어, 눈 건강 조합처럼 함께 드시는 경우 항혈전제와 위험이 겹칩니다.</t>
        </is>
      </c>
      <c r="F30" s="9" t="inlineStr">
        <is>
          <t>항혈전제를 드시거나 수술 예정이시면 두 성분의 총량을 확인하고 담당 선생님과 상의해 주세요. 지용성이라 식사와 함께 드시는 것이 흡수에 좋습니다.</t>
        </is>
      </c>
      <c r="G30" s="9" t="n"/>
      <c r="H30" s="9" t="inlineStr">
        <is>
          <t>부록 §3 p.344</t>
        </is>
      </c>
      <c r="I30" s="10" t="n"/>
    </row>
    <row r="31">
      <c r="A31" s="9" t="n">
        <v>29</v>
      </c>
      <c r="B31" s="9" t="inlineStr">
        <is>
          <t>주의</t>
        </is>
      </c>
      <c r="C31" s="9" t="inlineStr">
        <is>
          <t>확립</t>
        </is>
      </c>
      <c r="D31" s="9" t="inlineStr">
        <is>
          <t>벤조디아제핀 × 카바 × 발레리안</t>
        </is>
      </c>
      <c r="E31" s="9" t="inlineStr">
        <is>
          <t>세 가지 모두 신경을 가라앉히는 방향으로 작용합니다. 겹치면 지나치게 졸리거나 어지러워 특히 고령자에서 낙상 위험이 커집니다.</t>
        </is>
      </c>
      <c r="F31" s="9" t="inlineStr">
        <is>
          <t>수면·긴장 완화 제품을 추가하실 때는 담당 선생님과 먼저 상의하시고, 낮 시간 졸림이나 휘청거림이 있으면 알려 주세요.</t>
        </is>
      </c>
      <c r="G31" s="9" t="n"/>
      <c r="H31" s="9" t="inlineStr">
        <is>
          <t>부록 §4 p.364</t>
        </is>
      </c>
      <c r="I31" s="10" t="n"/>
    </row>
    <row r="32">
      <c r="A32" s="9" t="n">
        <v>30</v>
      </c>
      <c r="B32" s="9" t="inlineStr">
        <is>
          <t>주의</t>
        </is>
      </c>
      <c r="C32" s="9" t="inlineStr">
        <is>
          <t>확립</t>
        </is>
      </c>
      <c r="D32" s="9" t="inlineStr">
        <is>
          <t>부프로피온 × 세인트존스워트</t>
        </is>
      </c>
      <c r="E32" s="9" t="inlineStr">
        <is>
          <t>부프로피온은 발작이 일어나는 문턱을 낮추는 약이고, 세인트존스워트는 여러 약물과 광범위하게 상호작용합니다. 두 가지가 겹치면 위험이 더해집니다.</t>
        </is>
      </c>
      <c r="F32" s="9" t="inlineStr">
        <is>
          <t>기분 개선용 제품과 자극성 성분이 든 다이어트 제품의 성분표를 확인해 주시고, 담당 선생님께 복용 중인 제품을 알려 주세요.</t>
        </is>
      </c>
      <c r="G32" s="9" t="n"/>
      <c r="H32" s="9" t="inlineStr">
        <is>
          <t>부록 §4 p.381</t>
        </is>
      </c>
      <c r="I32" s="10" t="n"/>
    </row>
    <row r="33">
      <c r="A33" s="9" t="n">
        <v>31</v>
      </c>
      <c r="B33" s="9" t="inlineStr">
        <is>
          <t>주의</t>
        </is>
      </c>
      <c r="C33" s="9" t="inlineStr">
        <is>
          <t>확립</t>
        </is>
      </c>
      <c r="D33" s="9" t="inlineStr">
        <is>
          <t>칼슘통로차단제 × 자몽</t>
        </is>
      </c>
      <c r="E33" s="9" t="inlineStr">
        <is>
          <t>자몽이 약물 분해 효소(CYP3A4)를 막아 혈압약의 혈중 농도를 올립니다. 그러면 혈압이 지나치게 떨어지거나 부작용이 커질 수 있습니다.</t>
        </is>
      </c>
      <c r="F33" s="9" t="inlineStr">
        <is>
          <t>자몽 생과일과 주스를 모두 피하시고, 어지럼이나 심한 부종이 생기면 담당 선생님께 알려 주세요.</t>
        </is>
      </c>
      <c r="G33" s="9" t="n"/>
      <c r="H33" s="9" t="inlineStr">
        <is>
          <t>부록 §4 p.353</t>
        </is>
      </c>
      <c r="I33" s="10" t="n"/>
    </row>
    <row r="34">
      <c r="A34" s="9" t="n">
        <v>32</v>
      </c>
      <c r="B34" s="9" t="inlineStr">
        <is>
          <t>주의</t>
        </is>
      </c>
      <c r="C34" s="9" t="inlineStr">
        <is>
          <t>확립</t>
        </is>
      </c>
      <c r="D34" s="9" t="inlineStr">
        <is>
          <t>콜린에스터라제 억제제 × 항콜린성 약물</t>
        </is>
      </c>
      <c r="E34" s="9" t="inlineStr">
        <is>
          <t>도네페질은 아세틸콜린을 늘려 인지기능을 돕는 약입니다. 항콜린 작용이 있는 소재는 그 반대 방향이라 약효를 상쇄합니다.</t>
        </is>
      </c>
      <c r="F34" s="9" t="inlineStr">
        <is>
          <t>수면·방광용 제품 중에 항콜린 작용이 있는 것이 있습니다. 새 제품을 시작하기 전에 담당 선생님·약사와 성분을 확인해 주세요.</t>
        </is>
      </c>
      <c r="G34" s="9" t="n"/>
      <c r="H34" s="9" t="inlineStr">
        <is>
          <t>부록 §4 p.365</t>
        </is>
      </c>
      <c r="I34" s="10" t="n"/>
    </row>
    <row r="35">
      <c r="A35" s="9" t="n">
        <v>33</v>
      </c>
      <c r="B35" s="9" t="inlineStr">
        <is>
          <t>주의</t>
        </is>
      </c>
      <c r="C35" s="9" t="inlineStr">
        <is>
          <t>확립</t>
        </is>
      </c>
      <c r="D35" s="9" t="inlineStr">
        <is>
          <t>혈액투석 × 칼륨 × 인 × 마그네슘</t>
        </is>
      </c>
      <c r="E35" s="9" t="inlineStr">
        <is>
          <t>신장이 이 미네랄들을 충분히 걸러내지 못해 몸에 쌓입니다. 특히 칼륨이 쌓이면 심장 리듬에 문제가 생길 수 있습니다.</t>
        </is>
      </c>
      <c r="F35" s="9" t="inlineStr">
        <is>
          <t>종합 미네랄 제품의 라벨에서 칼륨·인·마그네슘 함량을 확인해 주시고, 새 제품은 신장내과와 먼저 상의해 주세요.</t>
        </is>
      </c>
      <c r="G35" s="9" t="n"/>
      <c r="H35" s="9" t="inlineStr">
        <is>
          <t>부록 §4 p.381</t>
        </is>
      </c>
      <c r="I35" s="10" t="n"/>
    </row>
    <row r="36">
      <c r="A36" s="9" t="n">
        <v>34</v>
      </c>
      <c r="B36" s="9" t="inlineStr">
        <is>
          <t>주의</t>
        </is>
      </c>
      <c r="C36" s="9" t="inlineStr">
        <is>
          <t>확립</t>
        </is>
      </c>
      <c r="D36" s="9" t="inlineStr">
        <is>
          <t>혈액투석 × 비타민 C × 비타민 A</t>
        </is>
      </c>
      <c r="E36" s="9" t="inlineStr">
        <is>
          <t>고용량 비타민 C는 몸 안에서 옥살산으로 바뀌어 쌓일 수 있고, 비타민 A는 배출이 잘 되지 않아 축적·독성 우려가 있습니다.</t>
        </is>
      </c>
      <c r="F36" s="9" t="inlineStr">
        <is>
          <t>면역·피부용 고용량 제품을 고려하신다면 신장내과와 먼저 상의해 주세요.</t>
        </is>
      </c>
      <c r="G36" s="9" t="n"/>
      <c r="H36" s="9" t="inlineStr">
        <is>
          <t>부록 §4 p.381</t>
        </is>
      </c>
      <c r="I36" s="10" t="n"/>
    </row>
    <row r="37">
      <c r="A37" s="9" t="n">
        <v>35</v>
      </c>
      <c r="B37" s="9" t="inlineStr">
        <is>
          <t>주의</t>
        </is>
      </c>
      <c r="C37" s="9" t="inlineStr">
        <is>
          <t>확립</t>
        </is>
      </c>
      <c r="D37" s="9" t="inlineStr">
        <is>
          <t>디곡신 × 칼슘</t>
        </is>
      </c>
      <c r="E37" s="9" t="inlineStr">
        <is>
          <t>고용량 칼슘은 디곡신과 함께일 때 부정맥 위험과 연관됩니다.</t>
        </is>
      </c>
      <c r="F37" s="9" t="inlineStr">
        <is>
          <t>뼈 건강용 칼슘을 시작하시기 전에 디곡신 복용 사실을 담당 선생님께 알리고 적정 용량을 상의해 주세요.</t>
        </is>
      </c>
      <c r="G37" s="9" t="n"/>
      <c r="H37" s="9" t="inlineStr">
        <is>
          <t>부록 §4 p.381</t>
        </is>
      </c>
      <c r="I37" s="10" t="n"/>
    </row>
    <row r="38">
      <c r="A38" s="9" t="n">
        <v>36</v>
      </c>
      <c r="B38" s="9" t="inlineStr">
        <is>
          <t>주의</t>
        </is>
      </c>
      <c r="C38" s="9" t="inlineStr">
        <is>
          <t>확립</t>
        </is>
      </c>
      <c r="D38" s="9" t="inlineStr">
        <is>
          <t>엽산 × 비타민 B12</t>
        </is>
      </c>
      <c r="E38" s="9" t="inlineStr">
        <is>
          <t>엽산은 빈혈 수치를 좋아 보이게 만들지만, B12 부족으로 생기는 신경 손상은 그대로 진행됩니다. 그래서 발견이 늦어질 수 있습니다.</t>
        </is>
      </c>
      <c r="F38" s="9" t="inlineStr">
        <is>
          <t>채식을 하시거나 메트포르민·PPI를 오래 드셨다면 엽산만 따로 드시기보다 B12를 함께 확인하고 보충하도록 상의해 주세요.</t>
        </is>
      </c>
      <c r="G38" s="9" t="n"/>
      <c r="H38" s="9" t="inlineStr">
        <is>
          <t>부록 §4 p.380</t>
        </is>
      </c>
      <c r="I38" s="10" t="n"/>
    </row>
    <row r="39">
      <c r="A39" s="9" t="n">
        <v>37</v>
      </c>
      <c r="B39" s="9" t="inlineStr">
        <is>
          <t>주의</t>
        </is>
      </c>
      <c r="C39" s="9" t="inlineStr">
        <is>
          <t>확립</t>
        </is>
      </c>
      <c r="D39" s="9" t="inlineStr">
        <is>
          <t>면역억제제 × 에키네시아 × 홍삼</t>
        </is>
      </c>
      <c r="E39" s="9" t="inlineStr">
        <is>
          <t>면역억제제는 면역을 일부러 낮춰 거부반응이나 자가면역 악화를 막는 약입니다. 면역을 올리는 소재는 이 치료 방향과 정반대라 서로 부딪힙니다.</t>
        </is>
      </c>
      <c r="F39" s="9" t="inlineStr">
        <is>
          <t>'면역력 강화'를 표방하는 제품은 담당 선생님과 먼저 상의해 주세요. 피로 개선이 필요하시면 다른 선택지를 함께 찾아보시는 것이 좋습니다.</t>
        </is>
      </c>
      <c r="G39" s="9" t="n"/>
      <c r="H39" s="9" t="inlineStr">
        <is>
          <t>부록 §4 p.361</t>
        </is>
      </c>
      <c r="I39" s="10" t="n"/>
    </row>
    <row r="40">
      <c r="A40" s="9" t="n">
        <v>38</v>
      </c>
      <c r="B40" s="9" t="inlineStr">
        <is>
          <t>주의</t>
        </is>
      </c>
      <c r="C40" s="9" t="inlineStr">
        <is>
          <t>확립</t>
        </is>
      </c>
      <c r="D40" s="9" t="inlineStr">
        <is>
          <t>인슐린 × 설폰요소제 × 인삼 × 크롬</t>
        </is>
      </c>
      <c r="E40" s="9" t="inlineStr">
        <is>
          <t>인슐린과 설폰요소제는 그 자체로 저혈당을 일으킬 수 있는 약입니다. 여기에 혈당을 낮추는 소재가 더해지면 저혈당 위험이 더 커집니다.</t>
        </is>
      </c>
      <c r="F40" s="9" t="inlineStr">
        <is>
          <t>새 제품을 시작하실 때는 혈당 자가측정을 늘리시고, 약 용량 재평가가 필요한지 담당 선생님과 상의해 주세요.</t>
        </is>
      </c>
      <c r="G40" s="9" t="n"/>
      <c r="H40" s="9" t="inlineStr">
        <is>
          <t>부록 §4 p.357</t>
        </is>
      </c>
      <c r="I40" s="10" t="n"/>
    </row>
    <row r="41">
      <c r="A41" s="9" t="n">
        <v>39</v>
      </c>
      <c r="B41" s="9" t="inlineStr">
        <is>
          <t>주의</t>
        </is>
      </c>
      <c r="C41" s="9" t="inlineStr">
        <is>
          <t>확립</t>
        </is>
      </c>
      <c r="D41" s="9" t="inlineStr">
        <is>
          <t>레보도파 × 카바 × 세인트존스워트</t>
        </is>
      </c>
      <c r="E41" s="9" t="inlineStr">
        <is>
          <t>이 두 소재는 파킨슨 치료약과 함께 쓰기 어려운 것으로 정리되어 있습니다.</t>
        </is>
      </c>
      <c r="F41" s="9" t="inlineStr">
        <is>
          <t>긴장 완화·기분용 수입 제품에 카바나 세인트존스워트가 들어 있는지 성분표를 확인해 주시고, 담당 선생님께 복용 중인 제품을 알려 주세요.</t>
        </is>
      </c>
      <c r="G41" s="9" t="n"/>
      <c r="H41" s="9" t="inlineStr">
        <is>
          <t>부록 §4 p.381</t>
        </is>
      </c>
      <c r="I41" s="10" t="n"/>
    </row>
    <row r="42">
      <c r="A42" s="9" t="n">
        <v>40</v>
      </c>
      <c r="B42" s="9" t="inlineStr">
        <is>
          <t>주의</t>
        </is>
      </c>
      <c r="C42" s="9" t="inlineStr">
        <is>
          <t>확립</t>
        </is>
      </c>
      <c r="D42" s="9" t="inlineStr">
        <is>
          <t>펜터민 × 카페인 × 녹차 카테킨 × 시트러스 아우란티움</t>
        </is>
      </c>
      <c r="E42" s="9" t="inlineStr">
        <is>
          <t>펜터민은 그 자체가 각성·교감신경 자극 작용을 하는 약입니다. 자극성 소재가 더해지면 혈압·심박이 오르고 불면이 심해질 수 있습니다.</t>
        </is>
      </c>
      <c r="F42" s="9" t="inlineStr">
        <is>
          <t>다이어트 보조 제품에 카페인·녹차 추출물·시트러스 아우란티움이 흔히 들어갑니다. 성분표를 확인해 주시고 혈압·맥박을 살펴 주세요.</t>
        </is>
      </c>
      <c r="G42" s="9" t="n"/>
      <c r="H42" s="9" t="inlineStr">
        <is>
          <t>부록 §4 p.381</t>
        </is>
      </c>
      <c r="I42" s="10" t="n"/>
    </row>
    <row r="43">
      <c r="A43" s="9" t="n">
        <v>41</v>
      </c>
      <c r="B43" s="9" t="inlineStr">
        <is>
          <t>주의</t>
        </is>
      </c>
      <c r="C43" s="9" t="inlineStr">
        <is>
          <t>확립</t>
        </is>
      </c>
      <c r="D43" s="9" t="inlineStr">
        <is>
          <t>RAS차단제 × 칼륨보존이뇨제 × 칼륨</t>
        </is>
      </c>
      <c r="E43" s="9" t="inlineStr">
        <is>
          <t>이 약들은 몸에 칼륨을 남기는 방향으로 작용합니다. 여기에 칼륨을 더 넣으면 혈중 칼륨이 지나치게 올라가(고칼륨혈증) 심장 리듬에 문제가 생길 수 있습니다.</t>
        </is>
      </c>
      <c r="F43" s="9" t="inlineStr">
        <is>
          <t>'저나트륨 소금'·'건강 소금'으로 파는 제품에 염화칼륨(KCl)이 들어 있는 경우가 많으니 성분표를 확인해 주시고, 칼륨 보충제는 담당 선생님과 먼저 상의해 주세요.</t>
        </is>
      </c>
      <c r="G43" s="9" t="n"/>
      <c r="H43" s="9" t="inlineStr">
        <is>
          <t>부록 §4 p.381</t>
        </is>
      </c>
      <c r="I43" s="10" t="n"/>
    </row>
    <row r="44">
      <c r="A44" s="9" t="n">
        <v>42</v>
      </c>
      <c r="B44" s="9" t="inlineStr">
        <is>
          <t>주의</t>
        </is>
      </c>
      <c r="C44" s="9" t="inlineStr">
        <is>
          <t>확립</t>
        </is>
      </c>
      <c r="D44" s="9" t="inlineStr">
        <is>
          <t>임신 × 비타민 C</t>
        </is>
      </c>
      <c r="E44" s="9" t="inlineStr">
        <is>
          <t>하루 2,000 mg은 상한섭취량에 근접·도달하는 양으로, 설사·위장장애·신장결석 위험을 높일 수 있습니다.</t>
        </is>
      </c>
      <c r="F44" s="9" t="inlineStr">
        <is>
          <t>임신 중에는 권장섭취량 수준으로 낮추시고, 개별 고용량 단일 제품을 임의로 겹쳐 드시지 않도록 산부인과와 상의해 주세요.</t>
        </is>
      </c>
      <c r="G44" s="9" t="n"/>
      <c r="H44" s="9" t="inlineStr">
        <is>
          <t>부록 §3 p.349</t>
        </is>
      </c>
      <c r="I44" s="10" t="n"/>
    </row>
    <row r="45">
      <c r="A45" s="9" t="n">
        <v>43</v>
      </c>
      <c r="B45" s="9" t="inlineStr">
        <is>
          <t>주의</t>
        </is>
      </c>
      <c r="C45" s="9" t="inlineStr">
        <is>
          <t>확립</t>
        </is>
      </c>
      <c r="D45" s="9" t="inlineStr">
        <is>
          <t>수술 예정 × 오메가-3 × 은행잎 × 마늘 × 비타민 E × 인삼</t>
        </is>
      </c>
      <c r="E45" s="9" t="inlineStr">
        <is>
          <t>이 소재들은 모두 출혈 위험을 높이는 방향으로 작용합니다. 수술이나 발치처럼 출혈이 생기는 처치에서는 지혈이 늦어질 수 있습니다.</t>
        </is>
      </c>
      <c r="F45" s="9" t="inlineStr">
        <is>
          <t>수술·발치 일정이 잡히면 드시는 건강기능식품 목록을 담당 선생님께 보여 드리고, 언제부터 쉬어야 할지 확인해 주세요.</t>
        </is>
      </c>
      <c r="G45" s="9" t="n"/>
      <c r="H45" s="9" t="inlineStr">
        <is>
          <t>부록 §4 p.382</t>
        </is>
      </c>
      <c r="I45" s="10" t="n"/>
    </row>
    <row r="46">
      <c r="A46" s="9" t="n">
        <v>44</v>
      </c>
      <c r="B46" s="9" t="inlineStr">
        <is>
          <t>주의</t>
        </is>
      </c>
      <c r="C46" s="9" t="inlineStr">
        <is>
          <t>확립</t>
        </is>
      </c>
      <c r="D46" s="9" t="inlineStr">
        <is>
          <t>흡연 × 베타카로틴</t>
        </is>
      </c>
      <c r="E46" s="9" t="inlineStr">
        <is>
          <t>흡연자가 베타카로틴을 고용량으로 드시면 폐암 위험과 연관된다는 점이 지적되어 있습니다.</t>
        </is>
      </c>
      <c r="F46" s="9" t="inlineStr">
        <is>
          <t>눈 건강용 복합제(AREDS2 조성 등)에서도 흡연자용은 베타카로틴이 빠진 제품을 고르시고, 성분표를 확인해 주세요.</t>
        </is>
      </c>
      <c r="G46" s="9" t="n"/>
      <c r="H46" s="9" t="inlineStr">
        <is>
          <t>부록 §4 p.377</t>
        </is>
      </c>
      <c r="I46" s="10" t="n"/>
    </row>
    <row r="47">
      <c r="A47" s="9" t="n">
        <v>45</v>
      </c>
      <c r="B47" s="9" t="inlineStr">
        <is>
          <t>주의</t>
        </is>
      </c>
      <c r="C47" s="9" t="inlineStr">
        <is>
          <t>확립</t>
        </is>
      </c>
      <c r="D47" s="9" t="inlineStr">
        <is>
          <t>스타틴 × 자몽</t>
        </is>
      </c>
      <c r="E47" s="9" t="inlineStr">
        <is>
          <t>자몽은 간·장의 대사 효소를 막아 약이 분해되는 속도를 늦춥니다. 그러면 스타틴의 혈중 농도가 올라가 근육 관련 부작용 위험이 커질 수 있습니다.</t>
        </is>
      </c>
      <c r="F47" s="9" t="inlineStr">
        <is>
          <t>자몽 생과일과 자몽 주스 모두 해당됩니다. 근육통이나 힘 빠짐이 생기면 담당 선생님께 알려 주세요.</t>
        </is>
      </c>
      <c r="G47" s="9" t="n"/>
      <c r="H47" s="9" t="inlineStr">
        <is>
          <t>부록 §4 p.381</t>
        </is>
      </c>
      <c r="I47" s="10" t="n"/>
    </row>
    <row r="48">
      <c r="A48" s="9" t="n">
        <v>46</v>
      </c>
      <c r="B48" s="9" t="inlineStr">
        <is>
          <t>주의</t>
        </is>
      </c>
      <c r="C48" s="9" t="inlineStr">
        <is>
          <t>확립</t>
        </is>
      </c>
      <c r="D48" s="9" t="inlineStr">
        <is>
          <t>SSRI × SNRI × 트립토판</t>
        </is>
      </c>
      <c r="E48" s="9" t="inlineStr">
        <is>
          <t>트립토판도 세로토닌의 원료가 되는 아미노산이라, 세로토닌을 올리는 항우울제와 함께 고용량으로 드시면 세로토닌 과다 상태가 될 수 있습니다.</t>
        </is>
      </c>
      <c r="F48" s="9" t="inlineStr">
        <is>
          <t>수면 보조 제품에 트립토판이 고용량으로 들어 있는지 확인해 주시고, 항우울제를 드시는 중이라면 담당 선생님과 상의해 주세요.</t>
        </is>
      </c>
      <c r="G48" s="9" t="n"/>
      <c r="H48" s="9" t="inlineStr">
        <is>
          <t>부록 §4 p.381</t>
        </is>
      </c>
      <c r="I48" s="10" t="n"/>
    </row>
    <row r="49">
      <c r="A49" s="9" t="n">
        <v>47</v>
      </c>
      <c r="B49" s="9" t="inlineStr">
        <is>
          <t>주의</t>
        </is>
      </c>
      <c r="C49" s="9" t="inlineStr">
        <is>
          <t>확립</t>
        </is>
      </c>
      <c r="D49" s="9" t="inlineStr">
        <is>
          <t>와파린 × 마늘</t>
        </is>
      </c>
      <c r="E49" s="9" t="inlineStr">
        <is>
          <t>마늘 추출물은 혈소판 기능에 영향을 주는 방향으로 작용합니다. 와파린과 함께라면 출혈 경향이 더해질 수 있습니다.</t>
        </is>
      </c>
      <c r="F49" s="9" t="inlineStr">
        <is>
          <t>요리에 쓰는 마늘이 아니라 농축·고함량 마늘 보충제를 시작하실 때 담당 선생님께 알려 주세요.</t>
        </is>
      </c>
      <c r="G49" s="9" t="n"/>
      <c r="H49" s="9" t="inlineStr">
        <is>
          <t>부록 §4 p.381</t>
        </is>
      </c>
      <c r="I49" s="10" t="n"/>
    </row>
    <row r="50">
      <c r="A50" s="9" t="n">
        <v>48</v>
      </c>
      <c r="B50" s="9" t="inlineStr">
        <is>
          <t>주의</t>
        </is>
      </c>
      <c r="C50" s="9" t="inlineStr">
        <is>
          <t>확립</t>
        </is>
      </c>
      <c r="D50" s="9" t="inlineStr">
        <is>
          <t>와파린 × 은행잎</t>
        </is>
      </c>
      <c r="E50" s="9" t="inlineStr">
        <is>
          <t>은행잎은 혈소판 응집을 억제해 혈행을 개선하는 방향으로 작용합니다. 와파린과 방향이 같아 출혈 경향이 더해집니다.</t>
        </is>
      </c>
      <c r="F50" s="9" t="inlineStr">
        <is>
          <t>기억력·혈행 제품에 은행잎이 들어 있는지 성분표를 확인해 주시고, 이미 드시고 계시다면 담당 선생님께 알리고 INR 확인을 상의해 주세요.</t>
        </is>
      </c>
      <c r="G50" s="9" t="n"/>
      <c r="H50" s="9" t="inlineStr">
        <is>
          <t>부록 §4 p.381</t>
        </is>
      </c>
      <c r="I50" s="10" t="n"/>
    </row>
    <row r="51">
      <c r="A51" s="9" t="n">
        <v>49</v>
      </c>
      <c r="B51" s="9" t="inlineStr">
        <is>
          <t>주의</t>
        </is>
      </c>
      <c r="C51" s="9" t="inlineStr">
        <is>
          <t>확립</t>
        </is>
      </c>
      <c r="D51" s="9" t="inlineStr">
        <is>
          <t>와파린 × 녹차 카테킨</t>
        </is>
      </c>
      <c r="E51" s="9" t="inlineStr">
        <is>
          <t>녹차 추출물에는 비타민 K가 들어 있어, 와파린의 작용을 상쇄하는 쪽으로 INR을 흔들 수 있습니다.</t>
        </is>
      </c>
      <c r="F51" s="9" t="inlineStr">
        <is>
          <t>체중·항산화 목적의 녹차 카테킨 농축 제품을 고려하신다면 와파린 복용 사실을 먼저 알려 주세요.</t>
        </is>
      </c>
      <c r="G51" s="9" t="n"/>
      <c r="H51" s="9" t="inlineStr">
        <is>
          <t>부록 §4 p.381</t>
        </is>
      </c>
      <c r="I51" s="10" t="n"/>
    </row>
    <row r="52">
      <c r="A52" s="9" t="n">
        <v>50</v>
      </c>
      <c r="B52" s="9" t="inlineStr">
        <is>
          <t>주의</t>
        </is>
      </c>
      <c r="C52" s="9" t="inlineStr">
        <is>
          <t>확립</t>
        </is>
      </c>
      <c r="D52" s="9" t="inlineStr">
        <is>
          <t>와파린 × 오메가-3</t>
        </is>
      </c>
      <c r="E52" s="9" t="inlineStr">
        <is>
          <t>오메가-3는 고용량에서 혈소판이 뭉치는 것을 억제하는 경향이 있습니다. 와파린과 방향이 같아 피가 더 잘 멈추지 않을 수 있습니다.</t>
        </is>
      </c>
      <c r="F52" s="9" t="inlineStr">
        <is>
          <t>잇몸 출혈·멍·코피가 늘면 바로 알려 주세요. 새 보충제를 시작하셨다면 INR을 다시 확인하도록 담당 선생님과 상의해 주세요.</t>
        </is>
      </c>
      <c r="G52" s="9" t="n"/>
      <c r="H52" s="9" t="inlineStr">
        <is>
          <t>부록 §4 p.381</t>
        </is>
      </c>
      <c r="I52" s="10" t="n"/>
    </row>
    <row r="53">
      <c r="A53" s="9" t="n">
        <v>51</v>
      </c>
      <c r="B53" s="9" t="inlineStr">
        <is>
          <t>주의</t>
        </is>
      </c>
      <c r="C53" s="9" t="inlineStr">
        <is>
          <t>확립</t>
        </is>
      </c>
      <c r="D53" s="9" t="inlineStr">
        <is>
          <t>와파린 × 비타민 E</t>
        </is>
      </c>
      <c r="E53" s="9" t="inlineStr">
        <is>
          <t>비타민 E는 고용량에서 항응고 방향의 작용을 보입니다. 와파린과 함께라면 피가 멈추는 데 걸리는 시간이 더 길어질 수 있습니다.</t>
        </is>
      </c>
      <c r="F53" s="9" t="inlineStr">
        <is>
          <t>종합비타민·항산화 제품의 비타민 E 함량을 확인해 주시고, 고용량 단일제를 시작하기 전에 담당 선생님과 상의해 주세요.</t>
        </is>
      </c>
      <c r="G53" s="9" t="n"/>
      <c r="H53" s="9" t="inlineStr">
        <is>
          <t>부록 §4 p.381</t>
        </is>
      </c>
      <c r="I53" s="10" t="n"/>
    </row>
    <row r="54">
      <c r="A54" s="9" t="n">
        <v>52</v>
      </c>
      <c r="B54" s="9" t="inlineStr">
        <is>
          <t>주의</t>
        </is>
      </c>
      <c r="C54" s="9" t="inlineStr">
        <is>
          <t>확립</t>
        </is>
      </c>
      <c r="D54" s="9" t="inlineStr">
        <is>
          <t>와파린 × 비타민 K × 비타민 K2</t>
        </is>
      </c>
      <c r="E54" s="9" t="inlineStr">
        <is>
          <t>와파린은 비타민 K의 작용을 막아 피를 묽게 하는 약입니다. 비타민 K를 보충하면 약의 작용이 직접 상쇄되어 INR이 낮아지고 혈전 위험이 올라갑니다.</t>
        </is>
      </c>
      <c r="F54" s="9" t="inlineStr">
        <is>
          <t>뼈 건강용 제품에 비타민 K2(MK-7)가 들어 있는 경우가 많으니 성분표를 확인해 주세요. 뼈 보조가 필요하면 칼슘·비타민 D 위주로 담당 선생님과 상의하시고, 식사에서의 비타민 K 섭취량도 갑자기 바꾸지 않는 것이 좋습니다.</t>
        </is>
      </c>
      <c r="G54" s="9" t="n"/>
      <c r="H54" s="9" t="inlineStr">
        <is>
          <t>부록 §4 p.353</t>
        </is>
      </c>
      <c r="I54" s="10" t="n"/>
    </row>
    <row r="55">
      <c r="A55" s="9" t="n">
        <v>53</v>
      </c>
      <c r="B55" s="9" t="inlineStr">
        <is>
          <t>시간 조정</t>
        </is>
      </c>
      <c r="C55" s="9" t="inlineStr">
        <is>
          <t>확립</t>
        </is>
      </c>
      <c r="D55" s="9" t="inlineStr">
        <is>
          <t>비스포스포네이트 × 칼슘</t>
        </is>
      </c>
      <c r="E55" s="9" t="inlineStr">
        <is>
          <t>칼슘이 비스포스포네이트와 결합해 흡수를 현저히 낮춥니다. 같이 드시면 골다공증 약이 제 역할을 하기 어려워집니다.</t>
        </is>
      </c>
      <c r="F55" s="9" t="inlineStr">
        <is>
          <t>비스포스포네이트는 기상 직후 공복에 물 한 컵과 함께 드시고 30분 이상 앉아 계신 뒤, 칼슘은 최소 2시간 이상 지나서 점심·저녁에 나누어 드세요.</t>
        </is>
      </c>
      <c r="G55" s="9" t="inlineStr">
        <is>
          <t>2시간</t>
        </is>
      </c>
      <c r="H55" s="9" t="inlineStr">
        <is>
          <t>부록 §3 p.346</t>
        </is>
      </c>
      <c r="I55" s="10" t="n"/>
    </row>
    <row r="56">
      <c r="A56" s="9" t="n">
        <v>54</v>
      </c>
      <c r="B56" s="9" t="inlineStr">
        <is>
          <t>시간 조정</t>
        </is>
      </c>
      <c r="C56" s="9" t="inlineStr">
        <is>
          <t>확립</t>
        </is>
      </c>
      <c r="D56" s="9" t="inlineStr">
        <is>
          <t>레보티록신 × 칼슘</t>
        </is>
      </c>
      <c r="E56" s="9" t="inlineStr">
        <is>
          <t>칼슘이 위장관에서 레보티록신과 결합해 흡수를 방해합니다. 같이 드시면 같은 용량을 먹어도 몸에 들어오는 양이 줄어 갑상선 수치가 흔들릴 수 있습니다.</t>
        </is>
      </c>
      <c r="F56" s="9" t="inlineStr">
        <is>
          <t>레보티록신은 아침 공복에 드시고, 칼슘은 최소 4시간 뒤로 미뤄 주세요. 종합비타민·위장약에도 칼슘이 들어 있을 수 있으니 성분표를 확인해 주세요.</t>
        </is>
      </c>
      <c r="G56" s="9" t="inlineStr">
        <is>
          <t>4시간</t>
        </is>
      </c>
      <c r="H56" s="9" t="inlineStr">
        <is>
          <t>부록 §4 p.381</t>
        </is>
      </c>
      <c r="I56" s="10" t="n"/>
    </row>
    <row r="57">
      <c r="A57" s="9" t="n">
        <v>55</v>
      </c>
      <c r="B57" s="9" t="inlineStr">
        <is>
          <t>시간 조정</t>
        </is>
      </c>
      <c r="C57" s="9" t="inlineStr">
        <is>
          <t>확립</t>
        </is>
      </c>
      <c r="D57" s="9" t="inlineStr">
        <is>
          <t>레보티록신 × 철분</t>
        </is>
      </c>
      <c r="E57" s="9" t="inlineStr">
        <is>
          <t>철분이 레보티록신과 위장관에서 결합해 흡수를 줄입니다. 빈혈 보충과 갑상선 치료를 같은 시간에 하면 갑상선 쪽이 손해를 봅니다.</t>
        </is>
      </c>
      <c r="F57" s="9" t="inlineStr">
        <is>
          <t>레보티록신을 아침 공복에 드신 뒤 철분은 최소 4시간 뒤로 미뤄 주세요. 철분은 비타민 C와 함께 드시면 흡수에 도움이 됩니다.</t>
        </is>
      </c>
      <c r="G57" s="9" t="inlineStr">
        <is>
          <t>4시간</t>
        </is>
      </c>
      <c r="H57" s="9" t="inlineStr">
        <is>
          <t>부록 §4 p.357</t>
        </is>
      </c>
      <c r="I57" s="10" t="n"/>
    </row>
    <row r="58">
      <c r="A58" s="9" t="n">
        <v>56</v>
      </c>
      <c r="B58" s="9" t="inlineStr">
        <is>
          <t>시간 조정</t>
        </is>
      </c>
      <c r="C58" s="9" t="inlineStr">
        <is>
          <t>확립</t>
        </is>
      </c>
      <c r="D58" s="9" t="inlineStr">
        <is>
          <t>오를리스타트 × 오메가-3 × 비타민 A × 비타민 D × 비타민 E × 비타민 K × 코엔자임 Q10</t>
        </is>
      </c>
      <c r="E58" s="9" t="inlineStr">
        <is>
          <t>오를리스타트는 지방 흡수를 막는 약이라, 지방과 함께 흡수되는 성분들(오메가-3, 비타민 A·D·E·K, 코엔자임 Q10)도 함께 덜 흡수됩니다.</t>
        </is>
      </c>
      <c r="F58" s="9" t="inlineStr">
        <is>
          <t>지용성 보충제는 오를리스타트 복용 시각에서 2시간 이상 띄워(예: 취침 전) 드시고, 지용성 비타민은 별도로 보충하는 것이 좋습니다.</t>
        </is>
      </c>
      <c r="G58" s="9" t="inlineStr">
        <is>
          <t>2시간</t>
        </is>
      </c>
      <c r="H58" s="9" t="inlineStr">
        <is>
          <t>부록 §4 p.381</t>
        </is>
      </c>
      <c r="I58" s="10" t="n"/>
    </row>
    <row r="59">
      <c r="A59" s="9" t="n">
        <v>57</v>
      </c>
      <c r="B59" s="9" t="inlineStr">
        <is>
          <t>시간 조정</t>
        </is>
      </c>
      <c r="C59" s="9" t="inlineStr">
        <is>
          <t>확립</t>
        </is>
      </c>
      <c r="D59" s="9" t="inlineStr">
        <is>
          <t>프로바이오틱스 × 항생제</t>
        </is>
      </c>
      <c r="E59" s="9" t="inlineStr">
        <is>
          <t>항생제는 나쁜 균만 골라 죽이지 못하기 때문에, 같은 시간에 먹은 유산균도 함께 사멸됩니다. 그러면 제품을 먹어도 장까지 살아서 가는 균이 크게 줄어듭니다.</t>
        </is>
      </c>
      <c r="F59" s="9" t="inlineStr">
        <is>
          <t>항생제 복용 시각에서 최소 2시간을 띄워 유산균을 드시고, 항생제가 끝난 뒤에도 1~4주가량 이어서 드시면 장내 균총 회복에 도움이 됩니다.</t>
        </is>
      </c>
      <c r="G59" s="9" t="inlineStr">
        <is>
          <t>2시간</t>
        </is>
      </c>
      <c r="H59" s="9" t="inlineStr">
        <is>
          <t>부록 §3 p.344</t>
        </is>
      </c>
      <c r="I59" s="10" t="n"/>
    </row>
    <row r="60">
      <c r="A60" s="9" t="n">
        <v>58</v>
      </c>
      <c r="B60" s="9" t="inlineStr">
        <is>
          <t>시간 조정</t>
        </is>
      </c>
      <c r="C60" s="9" t="inlineStr">
        <is>
          <t>확립</t>
        </is>
      </c>
      <c r="D60" s="9" t="inlineStr">
        <is>
          <t>레보티록신 × 콩</t>
        </is>
      </c>
      <c r="E60" s="9" t="inlineStr">
        <is>
          <t>콩 성분이 위장관에서 레보티록신의 흡수를 방해합니다. 같은 시간에 드시면 갑상선호르몬이 충분히 흡수되지 않을 수 있습니다.</t>
        </is>
      </c>
      <c r="F60" s="9" t="inlineStr">
        <is>
          <t>레보티록신은 공복에 드시고, 콩 단백·이소플라본 제품은 최소 4시간 뒤로 미뤄 주세요.</t>
        </is>
      </c>
      <c r="G60" s="9" t="inlineStr">
        <is>
          <t>4시간</t>
        </is>
      </c>
      <c r="H60" s="9" t="inlineStr">
        <is>
          <t>부록 §4 p.357</t>
        </is>
      </c>
      <c r="I60" s="10" t="n"/>
    </row>
    <row r="61">
      <c r="A61" s="9" t="n">
        <v>59</v>
      </c>
      <c r="B61" s="9" t="inlineStr">
        <is>
          <t>확인 권장</t>
        </is>
      </c>
      <c r="C61" s="9" t="inlineStr">
        <is>
          <t>이론적</t>
        </is>
      </c>
      <c r="D61" s="9" t="inlineStr">
        <is>
          <t>항응고제 × 커큐민</t>
        </is>
      </c>
      <c r="E61" s="9" t="inlineStr">
        <is>
          <t>커큐민은 혈소판이 뭉치는 것을 억제하는 경향이 있고 담즙 자극 가능성도 있습니다. 항응고제와 겹치면 출혈 경향이 더해질 수 있습니다.</t>
        </is>
      </c>
      <c r="F61" s="9" t="inlineStr">
        <is>
          <t>관절·염증 목적으로 고함량 커큐민을 고려하신다면 담당 선생님께 항응고제 복용 사실을 먼저 알려 주세요. 담석이 있으신 분도 신중해야 합니다.</t>
        </is>
      </c>
      <c r="G61" s="9" t="n"/>
      <c r="H61" s="9" t="inlineStr">
        <is>
          <t>부록 §4 p.368</t>
        </is>
      </c>
      <c r="I61" s="10" t="n"/>
    </row>
    <row r="62">
      <c r="A62" s="9" t="n">
        <v>60</v>
      </c>
      <c r="B62" s="9" t="inlineStr">
        <is>
          <t>확인 권장</t>
        </is>
      </c>
      <c r="C62" s="9" t="inlineStr">
        <is>
          <t>확립</t>
        </is>
      </c>
      <c r="D62" s="9" t="inlineStr">
        <is>
          <t>비오틴</t>
        </is>
      </c>
      <c r="E62" s="9" t="inlineStr">
        <is>
          <t>비오틴은 검사 시약의 반응을 방해해, 실제 몸 상태와 다른 수치가 나오게 만들 수 있습니다. 갑상선기능검사나 심근표지자 검사에서 특히 문제가 됩니다.</t>
        </is>
      </c>
      <c r="F62" s="9" t="inlineStr">
        <is>
          <t>혈액검사 예정이 있으면 비오틴이 든 모발·손톱용 제품과 종합비타민을 검사 전에 잠시 쉬어 주시고, 채혈 전에 복용 사실을 꼭 알려 주세요.</t>
        </is>
      </c>
      <c r="G62" s="9" t="n"/>
      <c r="H62" s="9" t="inlineStr">
        <is>
          <t>부록 §4 p.381</t>
        </is>
      </c>
      <c r="I62" s="10" t="n"/>
    </row>
    <row r="63">
      <c r="A63" s="9" t="n">
        <v>61</v>
      </c>
      <c r="B63" s="9" t="inlineStr">
        <is>
          <t>확인 권장</t>
        </is>
      </c>
      <c r="C63" s="9" t="inlineStr">
        <is>
          <t>이론적</t>
        </is>
      </c>
      <c r="D63" s="9" t="inlineStr">
        <is>
          <t>피나스테리드 × 쏘팔메토</t>
        </is>
      </c>
      <c r="E63" s="9" t="inlineStr">
        <is>
          <t>쏘팔메토는 남성호르몬 작용을 억제하는 경향이 있어 피나스테리드와 방향이 겹칩니다. 또 전립선 검사(PSA) 수치 해석에 영향을 줄 수 있습니다.</t>
        </is>
      </c>
      <c r="F63" s="9" t="inlineStr">
        <is>
          <t>탈모나 전립선 목적으로 쏘팔메토를 고려하신다면 담당 선생님과 상의하시고, PSA 검사 전에는 복용 사실을 꼭 알려 주세요.</t>
        </is>
      </c>
      <c r="G63" s="9" t="n"/>
      <c r="H63" s="9" t="inlineStr">
        <is>
          <t>부록 §4 p.378</t>
        </is>
      </c>
      <c r="I63" s="10" t="n"/>
    </row>
    <row r="64">
      <c r="A64" s="9" t="n">
        <v>62</v>
      </c>
      <c r="B64" s="9" t="inlineStr">
        <is>
          <t>확인 권장</t>
        </is>
      </c>
      <c r="C64" s="9" t="inlineStr">
        <is>
          <t>이론적</t>
        </is>
      </c>
      <c r="D64" s="9" t="inlineStr">
        <is>
          <t>GLP-1 수용체작용제 × 글루코사민</t>
        </is>
      </c>
      <c r="E64" s="9" t="inlineStr">
        <is>
          <t>GLP-1 제제는 위 배출을 늦춰 오심·포만감·변비나 설사가 흔합니다. 여기에 위장에 부담이 되는 보충제를 더하면 증상이 겹쳐 힘들어질 수 있습니다.</t>
        </is>
      </c>
      <c r="F64" s="9" t="inlineStr">
        <is>
          <t>관절 보조가 필요하시면 위장 부담이 적은 형태를 담당 선생님과 상의하시고, 새 제품은 한 번에 여러 종을 시작하지 말고 한 가지씩 천천히 도입해 주세요.</t>
        </is>
      </c>
      <c r="G64" s="9" t="n"/>
      <c r="H64" s="9" t="inlineStr">
        <is>
          <t>부록 §4 p.357</t>
        </is>
      </c>
      <c r="I64" s="10" t="n"/>
    </row>
    <row r="65">
      <c r="A65" s="9" t="n">
        <v>63</v>
      </c>
      <c r="B65" s="9" t="inlineStr">
        <is>
          <t>확인 권장</t>
        </is>
      </c>
      <c r="C65" s="9" t="inlineStr">
        <is>
          <t>확립</t>
        </is>
      </c>
      <c r="D65" s="9" t="inlineStr">
        <is>
          <t>레보도파 × 단백질 × 철분</t>
        </is>
      </c>
      <c r="E65" s="9" t="inlineStr">
        <is>
          <t>단백질과 철분은 레보도파가 몸에 흡수되는 것을 방해합니다. 같은 시간에 드시면 약효가 고르지 않게 느껴질 수 있습니다.</t>
        </is>
      </c>
      <c r="F65" s="9" t="inlineStr">
        <is>
          <t>레보도파와 단백질 보충제·철분은 복용 시간을 서로 떨어뜨려 주세요. 어느 정도 간격이 적절한지는 담당 선생님과 상의해 정하시면 좋습니다.</t>
        </is>
      </c>
      <c r="G65" s="9" t="n"/>
      <c r="H65" s="9" t="inlineStr">
        <is>
          <t>부록 §4 p.381</t>
        </is>
      </c>
      <c r="I65" s="10" t="n"/>
    </row>
    <row r="66">
      <c r="A66" s="9" t="n">
        <v>64</v>
      </c>
      <c r="B66" s="9" t="inlineStr">
        <is>
          <t>확인 권장</t>
        </is>
      </c>
      <c r="C66" s="9" t="inlineStr">
        <is>
          <t>확립</t>
        </is>
      </c>
      <c r="D66" s="9" t="inlineStr">
        <is>
          <t>메트포르민 × 비타민 B12</t>
        </is>
      </c>
      <c r="E66" s="9" t="inlineStr">
        <is>
          <t>메트포르민 장기 복용은 비타민 B12 흡수 저하와 연관됩니다. B12가 부족하면 피로나 손발 저림 같은 신경 증상이 생길 수 있습니다.</t>
        </is>
      </c>
      <c r="F66" s="9" t="inlineStr">
        <is>
          <t>장기 복용 중이시면 B12 수치를 확인하고 보충이 필요한지 담당 선생님과 상의해 주세요.</t>
        </is>
      </c>
      <c r="G66" s="9" t="n"/>
      <c r="H66" s="9" t="inlineStr">
        <is>
          <t>부록 §4 p.381</t>
        </is>
      </c>
      <c r="I66" s="10" t="n"/>
    </row>
    <row r="67">
      <c r="A67" s="9" t="n">
        <v>65</v>
      </c>
      <c r="B67" s="9" t="inlineStr">
        <is>
          <t>확인 권장</t>
        </is>
      </c>
      <c r="C67" s="9" t="inlineStr">
        <is>
          <t>확립</t>
        </is>
      </c>
      <c r="D67" s="9" t="inlineStr">
        <is>
          <t>PPI × 비타민 B12 × 마그네슘 × 칼슘 × 철분</t>
        </is>
      </c>
      <c r="E67" s="9" t="inlineStr">
        <is>
          <t>PPI는 위산을 줄이는 약인데, 이 영양소들은 위산이 있어야 잘 흡수됩니다. 장기 복용하면 부족해질 수 있습니다.</t>
        </is>
      </c>
      <c r="F67" s="9" t="inlineStr">
        <is>
          <t>장기 복용 중이시면 보충이 필요한지 담당 선생님과 상의해 주세요. 위산이 낮은 상태에서는 구연산칼슘 형태가 흡수에 유리합니다.</t>
        </is>
      </c>
      <c r="G67" s="9" t="n"/>
      <c r="H67" s="9" t="inlineStr">
        <is>
          <t>부록 §4 p.381</t>
        </is>
      </c>
      <c r="I67" s="10" t="n"/>
    </row>
    <row r="68">
      <c r="A68" s="9" t="n">
        <v>66</v>
      </c>
      <c r="B68" s="9" t="inlineStr">
        <is>
          <t>확인 권장</t>
        </is>
      </c>
      <c r="C68" s="9" t="inlineStr">
        <is>
          <t>확립</t>
        </is>
      </c>
      <c r="D68" s="9" t="inlineStr">
        <is>
          <t>홍경천 × 인삼</t>
        </is>
      </c>
      <c r="E68" s="9" t="inlineStr">
        <is>
          <t>두 소재 모두 어댑토젠으로 스트레스 적응을 돕지만 자극·각성 작용도 함께 가집니다. 겹치면 잠이 안 오거나 가슴이 두근거리고 과하게 흥분될 수 있습니다.</t>
        </is>
      </c>
      <c r="F68" s="9" t="inlineStr">
        <is>
          <t>중요한 일정 직전에 처음 드시지 마시고, 평소에 미리 소량으로 반응을 확인해 보세요. 자가면역·갑상선 질환이 있으시면 먼저 상의가 필요합니다.</t>
        </is>
      </c>
      <c r="G68" s="9" t="n"/>
      <c r="H68" s="9" t="inlineStr">
        <is>
          <t>부록 §3 p.345</t>
        </is>
      </c>
      <c r="I68" s="10" t="n"/>
    </row>
    <row r="69">
      <c r="A69" s="9" t="n">
        <v>67</v>
      </c>
      <c r="B69" s="9" t="inlineStr">
        <is>
          <t>확인 권장</t>
        </is>
      </c>
      <c r="C69" s="9" t="inlineStr">
        <is>
          <t>제한적</t>
        </is>
      </c>
      <c r="D69" s="9" t="inlineStr">
        <is>
          <t>와파린 × 코엔자임 Q10</t>
        </is>
      </c>
      <c r="E69" s="9" t="inlineStr">
        <is>
          <t>코엔자임 Q10이 와파린의 항응고 효과를 다소 떨어뜨릴 수 있다는 점이 지적되어 있습니다.</t>
        </is>
      </c>
      <c r="F69" s="9" t="inlineStr">
        <is>
          <t>피로·근육통 때문에 코엔자임 Q10을 고려하신다면 담당 선생님께 알리고, 시작 후 INR을 다시 확인하도록 상의해 주세요.</t>
        </is>
      </c>
      <c r="G69" s="9" t="n"/>
      <c r="H69" s="9" t="inlineStr">
        <is>
          <t>부록 §4 p.381</t>
        </is>
      </c>
      <c r="I69" s="10" t="n"/>
    </row>
    <row r="70">
      <c r="A70" s="9" t="n">
        <v>68</v>
      </c>
      <c r="B70" s="9" t="inlineStr">
        <is>
          <t>확인 권장</t>
        </is>
      </c>
      <c r="C70" s="9" t="inlineStr">
        <is>
          <t>확립</t>
        </is>
      </c>
      <c r="D70" s="9" t="inlineStr">
        <is>
          <t>아연 × 구리</t>
        </is>
      </c>
      <c r="E70" s="9" t="inlineStr">
        <is>
          <t>아연과 구리는 흡수 경로에서 서로 경쟁합니다. 아연만 오래 많이 드시면 구리가 부족해질 수 있습니다.</t>
        </is>
      </c>
      <c r="F70" s="9" t="inlineStr">
        <is>
          <t>장기 복용이 필요하시면 구리가 함께 든 제품을 고르거나, 적정 용량을 담당 선생님·약사와 상의해 주세요.</t>
        </is>
      </c>
      <c r="G70" s="9" t="n"/>
      <c r="H70" s="9" t="inlineStr">
        <is>
          <t>부록 §2 p.341</t>
        </is>
      </c>
      <c r="I70" s="10" t="n"/>
    </row>
    <row r="71">
      <c r="A71" s="9" t="n">
        <v>69</v>
      </c>
      <c r="B71" s="9" t="inlineStr">
        <is>
          <t>알아두기</t>
        </is>
      </c>
      <c r="C71" s="9" t="inlineStr">
        <is>
          <t>확립</t>
        </is>
      </c>
      <c r="D71" s="9" t="inlineStr">
        <is>
          <t>사카로마이세스 보울라디 × 항생제</t>
        </is>
      </c>
      <c r="E71" s="9" t="inlineStr">
        <is>
          <t>일반 유산균은 세균이라 항생제에 함께 죽지만, 사카로마이세스 보울라디는 효모여서 항생제에 사멸되지 않습니다. 항생제 유발 설사 예방 근거도 있습니다.</t>
        </is>
      </c>
      <c r="F71" s="9" t="inlineStr">
        <is>
          <t>항생제 복용 중 설사가 걱정되신다면 이 균주를 약사와 상의해 보실 수 있습니다. 다만 면역이 낮거나 중증 기저질환이 있으시면 먼저 상의가 필요합니다.</t>
        </is>
      </c>
      <c r="G71" s="9" t="n"/>
      <c r="H71" s="9" t="inlineStr">
        <is>
          <t>부록 §3 p.344</t>
        </is>
      </c>
      <c r="I71" s="10" t="n"/>
    </row>
    <row r="72">
      <c r="A72" s="9" t="n">
        <v>70</v>
      </c>
      <c r="B72" s="9" t="inlineStr">
        <is>
          <t>알아두기</t>
        </is>
      </c>
      <c r="C72" s="9" t="inlineStr">
        <is>
          <t>엇갈림</t>
        </is>
      </c>
      <c r="D72" s="9" t="inlineStr">
        <is>
          <t>코엔자임 Q10 × 스타틴</t>
        </is>
      </c>
      <c r="E72" s="9" t="inlineStr">
        <is>
          <t>스타틴이 막는 효소는 콜레스테롤뿐 아니라 코엔자임 Q10을 만드는 경로에도 관여합니다. 그래서 스타틴을 드시면 코엔자임 Q10이 줄어들 수 있고, 이것이 근육통·피로와 연결될 수 있다고 봅니다.</t>
        </is>
      </c>
      <c r="F72" s="9" t="inlineStr">
        <is>
          <t>근육통이 있으시면 코엔자임 Q10 보충을 담당 선생님과 상의해 보실 수 있습니다. 다만 효과에 대한 연구 결과는 엇갈립니다.</t>
        </is>
      </c>
      <c r="G72" s="9" t="n"/>
      <c r="H72" s="9" t="inlineStr">
        <is>
          <t>부록 §3 p.343</t>
        </is>
      </c>
      <c r="I72" s="10" t="n"/>
    </row>
  </sheetData>
  <autoFilter ref="A2:I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5" t="inlineStr">
        <is>
          <t>데이터베이스에 이미 있는 성분·계열 이름 (약학검수시트 v1 기준 163개). 시트①에 적을 때 이 표기를 그대로 쓰세요.</t>
        </is>
      </c>
    </row>
    <row r="2">
      <c r="A2" s="12" t="inlineStr">
        <is>
          <t>이름 (이 표기 그대로)</t>
        </is>
      </c>
      <c r="B2" s="12" t="inlineStr">
        <is>
          <t>종류</t>
        </is>
      </c>
    </row>
    <row r="3">
      <c r="A3" s="13" t="inlineStr">
        <is>
          <t>5-HTP</t>
        </is>
      </c>
      <c r="B3" s="13" t="inlineStr">
        <is>
          <t>기타</t>
        </is>
      </c>
    </row>
    <row r="4">
      <c r="A4" s="13" t="inlineStr">
        <is>
          <t>MSM</t>
        </is>
      </c>
      <c r="B4" s="13" t="inlineStr">
        <is>
          <t>기타</t>
        </is>
      </c>
    </row>
    <row r="5">
      <c r="A5" s="13" t="inlineStr">
        <is>
          <t>NAC</t>
        </is>
      </c>
      <c r="B5" s="13" t="inlineStr">
        <is>
          <t>기타</t>
        </is>
      </c>
    </row>
    <row r="6">
      <c r="A6" s="13" t="inlineStr">
        <is>
          <t>감마-아미노부티르산</t>
        </is>
      </c>
      <c r="B6" s="13" t="inlineStr">
        <is>
          <t>기타</t>
        </is>
      </c>
    </row>
    <row r="7">
      <c r="A7" s="13" t="inlineStr">
        <is>
          <t>감마리놀렌산</t>
        </is>
      </c>
      <c r="B7" s="13" t="inlineStr">
        <is>
          <t>기타</t>
        </is>
      </c>
    </row>
    <row r="8">
      <c r="A8" s="13" t="inlineStr">
        <is>
          <t>고용량 항산화제</t>
        </is>
      </c>
      <c r="B8" s="13" t="inlineStr">
        <is>
          <t>기타</t>
        </is>
      </c>
    </row>
    <row r="9">
      <c r="A9" s="13" t="inlineStr">
        <is>
          <t>글루코사민</t>
        </is>
      </c>
      <c r="B9" s="13" t="inlineStr">
        <is>
          <t>기타</t>
        </is>
      </c>
    </row>
    <row r="10">
      <c r="A10" s="13" t="inlineStr">
        <is>
          <t>글리신</t>
        </is>
      </c>
      <c r="B10" s="13" t="inlineStr">
        <is>
          <t>기타</t>
        </is>
      </c>
    </row>
    <row r="11">
      <c r="A11" s="13" t="inlineStr">
        <is>
          <t>나토키나제</t>
        </is>
      </c>
      <c r="B11" s="13" t="inlineStr">
        <is>
          <t>기타</t>
        </is>
      </c>
    </row>
    <row r="12">
      <c r="A12" s="13" t="inlineStr">
        <is>
          <t>난소화성 말토덱스트린</t>
        </is>
      </c>
      <c r="B12" s="13" t="inlineStr">
        <is>
          <t>기타</t>
        </is>
      </c>
    </row>
    <row r="13">
      <c r="A13" s="13" t="inlineStr">
        <is>
          <t>다가양이온</t>
        </is>
      </c>
      <c r="B13" s="13" t="inlineStr">
        <is>
          <t>기타</t>
        </is>
      </c>
    </row>
    <row r="14">
      <c r="A14" s="13" t="inlineStr">
        <is>
          <t>단백질</t>
        </is>
      </c>
      <c r="B14" s="13" t="inlineStr">
        <is>
          <t>기타</t>
        </is>
      </c>
    </row>
    <row r="15">
      <c r="A15" s="13" t="inlineStr">
        <is>
          <t>멜라토닌</t>
        </is>
      </c>
      <c r="B15" s="13" t="inlineStr">
        <is>
          <t>기타</t>
        </is>
      </c>
    </row>
    <row r="16">
      <c r="A16" s="13" t="inlineStr">
        <is>
          <t>베타글루칸</t>
        </is>
      </c>
      <c r="B16" s="13" t="inlineStr">
        <is>
          <t>기타</t>
        </is>
      </c>
    </row>
    <row r="17">
      <c r="A17" s="13" t="inlineStr">
        <is>
          <t>알파리포산</t>
        </is>
      </c>
      <c r="B17" s="13" t="inlineStr">
        <is>
          <t>기타</t>
        </is>
      </c>
    </row>
    <row r="18">
      <c r="A18" s="13" t="inlineStr">
        <is>
          <t>오메가-3</t>
        </is>
      </c>
      <c r="B18" s="13" t="inlineStr">
        <is>
          <t>기타</t>
        </is>
      </c>
    </row>
    <row r="19">
      <c r="A19" s="13" t="inlineStr">
        <is>
          <t>유단백가수분해물</t>
        </is>
      </c>
      <c r="B19" s="13" t="inlineStr">
        <is>
          <t>기타</t>
        </is>
      </c>
    </row>
    <row r="20">
      <c r="A20" s="13" t="inlineStr">
        <is>
          <t>자몽</t>
        </is>
      </c>
      <c r="B20" s="13" t="inlineStr">
        <is>
          <t>기타</t>
        </is>
      </c>
    </row>
    <row r="21">
      <c r="A21" s="13" t="inlineStr">
        <is>
          <t>카페인</t>
        </is>
      </c>
      <c r="B21" s="13" t="inlineStr">
        <is>
          <t>기타</t>
        </is>
      </c>
    </row>
    <row r="22">
      <c r="A22" s="13" t="inlineStr">
        <is>
          <t>코엔자임 Q10</t>
        </is>
      </c>
      <c r="B22" s="13" t="inlineStr">
        <is>
          <t>기타</t>
        </is>
      </c>
    </row>
    <row r="23">
      <c r="A23" s="13" t="inlineStr">
        <is>
          <t>콩</t>
        </is>
      </c>
      <c r="B23" s="13" t="inlineStr">
        <is>
          <t>기타</t>
        </is>
      </c>
    </row>
    <row r="24">
      <c r="A24" s="13" t="inlineStr">
        <is>
          <t>테아닌</t>
        </is>
      </c>
      <c r="B24" s="13" t="inlineStr">
        <is>
          <t>기타</t>
        </is>
      </c>
    </row>
    <row r="25">
      <c r="A25" s="13" t="inlineStr">
        <is>
          <t>트립토판</t>
        </is>
      </c>
      <c r="B25" s="13" t="inlineStr">
        <is>
          <t>기타</t>
        </is>
      </c>
    </row>
    <row r="26">
      <c r="A26" s="13" t="inlineStr">
        <is>
          <t>폴리코사놀</t>
        </is>
      </c>
      <c r="B26" s="13" t="inlineStr">
        <is>
          <t>기타</t>
        </is>
      </c>
    </row>
    <row r="27">
      <c r="A27" s="13" t="inlineStr">
        <is>
          <t>프로폴리스</t>
        </is>
      </c>
      <c r="B27" s="13" t="inlineStr">
        <is>
          <t>기타</t>
        </is>
      </c>
    </row>
    <row r="28">
      <c r="A28" s="13" t="inlineStr">
        <is>
          <t>프리바이오틱스</t>
        </is>
      </c>
      <c r="B28" s="13" t="inlineStr">
        <is>
          <t>기타</t>
        </is>
      </c>
    </row>
    <row r="29">
      <c r="A29" s="13" t="inlineStr">
        <is>
          <t>구리</t>
        </is>
      </c>
      <c r="B29" s="13" t="inlineStr">
        <is>
          <t>미네랄</t>
        </is>
      </c>
    </row>
    <row r="30">
      <c r="A30" s="13" t="inlineStr">
        <is>
          <t>마그네슘</t>
        </is>
      </c>
      <c r="B30" s="13" t="inlineStr">
        <is>
          <t>미네랄</t>
        </is>
      </c>
    </row>
    <row r="31">
      <c r="A31" s="13" t="inlineStr">
        <is>
          <t>망간</t>
        </is>
      </c>
      <c r="B31" s="13" t="inlineStr">
        <is>
          <t>미네랄</t>
        </is>
      </c>
    </row>
    <row r="32">
      <c r="A32" s="13" t="inlineStr">
        <is>
          <t>아연</t>
        </is>
      </c>
      <c r="B32" s="13" t="inlineStr">
        <is>
          <t>미네랄</t>
        </is>
      </c>
    </row>
    <row r="33">
      <c r="A33" s="13" t="inlineStr">
        <is>
          <t>요오드</t>
        </is>
      </c>
      <c r="B33" s="13" t="inlineStr">
        <is>
          <t>미네랄</t>
        </is>
      </c>
    </row>
    <row r="34">
      <c r="A34" s="13" t="inlineStr">
        <is>
          <t>인</t>
        </is>
      </c>
      <c r="B34" s="13" t="inlineStr">
        <is>
          <t>미네랄</t>
        </is>
      </c>
    </row>
    <row r="35">
      <c r="A35" s="13" t="inlineStr">
        <is>
          <t>철분</t>
        </is>
      </c>
      <c r="B35" s="13" t="inlineStr">
        <is>
          <t>미네랄</t>
        </is>
      </c>
    </row>
    <row r="36">
      <c r="A36" s="13" t="inlineStr">
        <is>
          <t>칼륨</t>
        </is>
      </c>
      <c r="B36" s="13" t="inlineStr">
        <is>
          <t>미네랄</t>
        </is>
      </c>
    </row>
    <row r="37">
      <c r="A37" s="13" t="inlineStr">
        <is>
          <t>칼슘</t>
        </is>
      </c>
      <c r="B37" s="13" t="inlineStr">
        <is>
          <t>미네랄</t>
        </is>
      </c>
    </row>
    <row r="38">
      <c r="A38" s="13" t="inlineStr">
        <is>
          <t>크롬</t>
        </is>
      </c>
      <c r="B38" s="13" t="inlineStr">
        <is>
          <t>미네랄</t>
        </is>
      </c>
    </row>
    <row r="39">
      <c r="A39" s="13" t="inlineStr">
        <is>
          <t>나이아신</t>
        </is>
      </c>
      <c r="B39" s="13" t="inlineStr">
        <is>
          <t>비타민</t>
        </is>
      </c>
    </row>
    <row r="40">
      <c r="A40" s="13" t="inlineStr">
        <is>
          <t>베타카로틴</t>
        </is>
      </c>
      <c r="B40" s="13" t="inlineStr">
        <is>
          <t>비타민</t>
        </is>
      </c>
    </row>
    <row r="41">
      <c r="A41" s="13" t="inlineStr">
        <is>
          <t>비오틴</t>
        </is>
      </c>
      <c r="B41" s="13" t="inlineStr">
        <is>
          <t>비타민</t>
        </is>
      </c>
    </row>
    <row r="42">
      <c r="A42" s="13" t="inlineStr">
        <is>
          <t>비타민 A</t>
        </is>
      </c>
      <c r="B42" s="13" t="inlineStr">
        <is>
          <t>비타민</t>
        </is>
      </c>
    </row>
    <row r="43">
      <c r="A43" s="13" t="inlineStr">
        <is>
          <t>비타민 B12</t>
        </is>
      </c>
      <c r="B43" s="13" t="inlineStr">
        <is>
          <t>비타민</t>
        </is>
      </c>
    </row>
    <row r="44">
      <c r="A44" s="13" t="inlineStr">
        <is>
          <t>비타민 B6</t>
        </is>
      </c>
      <c r="B44" s="13" t="inlineStr">
        <is>
          <t>비타민</t>
        </is>
      </c>
    </row>
    <row r="45">
      <c r="A45" s="13" t="inlineStr">
        <is>
          <t>비타민 C</t>
        </is>
      </c>
      <c r="B45" s="13" t="inlineStr">
        <is>
          <t>비타민</t>
        </is>
      </c>
    </row>
    <row r="46">
      <c r="A46" s="13" t="inlineStr">
        <is>
          <t>비타민 D</t>
        </is>
      </c>
      <c r="B46" s="13" t="inlineStr">
        <is>
          <t>비타민</t>
        </is>
      </c>
    </row>
    <row r="47">
      <c r="A47" s="13" t="inlineStr">
        <is>
          <t>비타민 E</t>
        </is>
      </c>
      <c r="B47" s="13" t="inlineStr">
        <is>
          <t>비타민</t>
        </is>
      </c>
    </row>
    <row r="48">
      <c r="A48" s="13" t="inlineStr">
        <is>
          <t>비타민 K</t>
        </is>
      </c>
      <c r="B48" s="13" t="inlineStr">
        <is>
          <t>비타민</t>
        </is>
      </c>
    </row>
    <row r="49">
      <c r="A49" s="13" t="inlineStr">
        <is>
          <t>비타민 K2</t>
        </is>
      </c>
      <c r="B49" s="13" t="inlineStr">
        <is>
          <t>비타민</t>
        </is>
      </c>
    </row>
    <row r="50">
      <c r="A50" s="13" t="inlineStr">
        <is>
          <t>엽산</t>
        </is>
      </c>
      <c r="B50" s="13" t="inlineStr">
        <is>
          <t>비타민</t>
        </is>
      </c>
    </row>
    <row r="51">
      <c r="A51" s="13" t="inlineStr">
        <is>
          <t>가르시니아</t>
        </is>
      </c>
      <c r="B51" s="13" t="inlineStr">
        <is>
          <t>생약·식물</t>
        </is>
      </c>
    </row>
    <row r="52">
      <c r="A52" s="13" t="inlineStr">
        <is>
          <t>감마오리자놀</t>
        </is>
      </c>
      <c r="B52" s="13" t="inlineStr">
        <is>
          <t>생약·식물</t>
        </is>
      </c>
    </row>
    <row r="53">
      <c r="A53" s="13" t="inlineStr">
        <is>
          <t>감초</t>
        </is>
      </c>
      <c r="B53" s="13" t="inlineStr">
        <is>
          <t>생약·식물</t>
        </is>
      </c>
    </row>
    <row r="54">
      <c r="A54" s="13" t="inlineStr">
        <is>
          <t>녹차 카테킨</t>
        </is>
      </c>
      <c r="B54" s="13" t="inlineStr">
        <is>
          <t>생약·식물</t>
        </is>
      </c>
    </row>
    <row r="55">
      <c r="A55" s="13" t="inlineStr">
        <is>
          <t>마늘</t>
        </is>
      </c>
      <c r="B55" s="13" t="inlineStr">
        <is>
          <t>생약·식물</t>
        </is>
      </c>
    </row>
    <row r="56">
      <c r="A56" s="13" t="inlineStr">
        <is>
          <t>밀크씨슬</t>
        </is>
      </c>
      <c r="B56" s="13" t="inlineStr">
        <is>
          <t>생약·식물</t>
        </is>
      </c>
    </row>
    <row r="57">
      <c r="A57" s="13" t="inlineStr">
        <is>
          <t>바나바잎</t>
        </is>
      </c>
      <c r="B57" s="13" t="inlineStr">
        <is>
          <t>생약·식물</t>
        </is>
      </c>
    </row>
    <row r="58">
      <c r="A58" s="13" t="inlineStr">
        <is>
          <t>발레리안</t>
        </is>
      </c>
      <c r="B58" s="13" t="inlineStr">
        <is>
          <t>생약·식물</t>
        </is>
      </c>
    </row>
    <row r="59">
      <c r="A59" s="13" t="inlineStr">
        <is>
          <t>백수오등복합추출물</t>
        </is>
      </c>
      <c r="B59" s="13" t="inlineStr">
        <is>
          <t>생약·식물</t>
        </is>
      </c>
    </row>
    <row r="60">
      <c r="A60" s="13" t="inlineStr">
        <is>
          <t>블랙코호시</t>
        </is>
      </c>
      <c r="B60" s="13" t="inlineStr">
        <is>
          <t>생약·식물</t>
        </is>
      </c>
    </row>
    <row r="61">
      <c r="A61" s="13" t="inlineStr">
        <is>
          <t>세인트존스워트</t>
        </is>
      </c>
      <c r="B61" s="13" t="inlineStr">
        <is>
          <t>생약·식물</t>
        </is>
      </c>
    </row>
    <row r="62">
      <c r="A62" s="13" t="inlineStr">
        <is>
          <t>스타프루트</t>
        </is>
      </c>
      <c r="B62" s="13" t="inlineStr">
        <is>
          <t>생약·식물</t>
        </is>
      </c>
    </row>
    <row r="63">
      <c r="A63" s="13" t="inlineStr">
        <is>
          <t>시트러스 아우란티움</t>
        </is>
      </c>
      <c r="B63" s="13" t="inlineStr">
        <is>
          <t>생약·식물</t>
        </is>
      </c>
    </row>
    <row r="64">
      <c r="A64" s="13" t="inlineStr">
        <is>
          <t>쏘팔메토</t>
        </is>
      </c>
      <c r="B64" s="13" t="inlineStr">
        <is>
          <t>생약·식물</t>
        </is>
      </c>
    </row>
    <row r="65">
      <c r="A65" s="13" t="inlineStr">
        <is>
          <t>아슈와간다</t>
        </is>
      </c>
      <c r="B65" s="13" t="inlineStr">
        <is>
          <t>생약·식물</t>
        </is>
      </c>
    </row>
    <row r="66">
      <c r="A66" s="13" t="inlineStr">
        <is>
          <t>에키네시아</t>
        </is>
      </c>
      <c r="B66" s="13" t="inlineStr">
        <is>
          <t>생약·식물</t>
        </is>
      </c>
    </row>
    <row r="67">
      <c r="A67" s="13" t="inlineStr">
        <is>
          <t>여주</t>
        </is>
      </c>
      <c r="B67" s="13" t="inlineStr">
        <is>
          <t>생약·식물</t>
        </is>
      </c>
    </row>
    <row r="68">
      <c r="A68" s="13" t="inlineStr">
        <is>
          <t>은행잎</t>
        </is>
      </c>
      <c r="B68" s="13" t="inlineStr">
        <is>
          <t>생약·식물</t>
        </is>
      </c>
    </row>
    <row r="69">
      <c r="A69" s="13" t="inlineStr">
        <is>
          <t>이소플라본</t>
        </is>
      </c>
      <c r="B69" s="13" t="inlineStr">
        <is>
          <t>생약·식물</t>
        </is>
      </c>
    </row>
    <row r="70">
      <c r="A70" s="13" t="inlineStr">
        <is>
          <t>인삼</t>
        </is>
      </c>
      <c r="B70" s="13" t="inlineStr">
        <is>
          <t>생약·식물</t>
        </is>
      </c>
    </row>
    <row r="71">
      <c r="A71" s="13" t="inlineStr">
        <is>
          <t>차전자피</t>
        </is>
      </c>
      <c r="B71" s="13" t="inlineStr">
        <is>
          <t>생약·식물</t>
        </is>
      </c>
    </row>
    <row r="72">
      <c r="A72" s="13" t="inlineStr">
        <is>
          <t>카바</t>
        </is>
      </c>
      <c r="B72" s="13" t="inlineStr">
        <is>
          <t>생약·식물</t>
        </is>
      </c>
    </row>
    <row r="73">
      <c r="A73" s="13" t="inlineStr">
        <is>
          <t>커큐민</t>
        </is>
      </c>
      <c r="B73" s="13" t="inlineStr">
        <is>
          <t>생약·식물</t>
        </is>
      </c>
    </row>
    <row r="74">
      <c r="A74" s="13" t="inlineStr">
        <is>
          <t>케르세틴</t>
        </is>
      </c>
      <c r="B74" s="13" t="inlineStr">
        <is>
          <t>생약·식물</t>
        </is>
      </c>
    </row>
    <row r="75">
      <c r="A75" s="13" t="inlineStr">
        <is>
          <t>켈프</t>
        </is>
      </c>
      <c r="B75" s="13" t="inlineStr">
        <is>
          <t>생약·식물</t>
        </is>
      </c>
    </row>
    <row r="76">
      <c r="A76" s="13" t="inlineStr">
        <is>
          <t>크랜베리</t>
        </is>
      </c>
      <c r="B76" s="13" t="inlineStr">
        <is>
          <t>생약·식물</t>
        </is>
      </c>
    </row>
    <row r="77">
      <c r="A77" s="13" t="inlineStr">
        <is>
          <t>타트체리 추출물</t>
        </is>
      </c>
      <c r="B77" s="13" t="inlineStr">
        <is>
          <t>생약·식물</t>
        </is>
      </c>
    </row>
    <row r="78">
      <c r="A78" s="13" t="inlineStr">
        <is>
          <t>헛개나무</t>
        </is>
      </c>
      <c r="B78" s="13" t="inlineStr">
        <is>
          <t>생약·식물</t>
        </is>
      </c>
    </row>
    <row r="79">
      <c r="A79" s="13" t="inlineStr">
        <is>
          <t>홍경천</t>
        </is>
      </c>
      <c r="B79" s="13" t="inlineStr">
        <is>
          <t>생약·식물</t>
        </is>
      </c>
    </row>
    <row r="80">
      <c r="A80" s="13" t="inlineStr">
        <is>
          <t>홍국</t>
        </is>
      </c>
      <c r="B80" s="13" t="inlineStr">
        <is>
          <t>생약·식물</t>
        </is>
      </c>
    </row>
    <row r="81">
      <c r="A81" s="13" t="inlineStr">
        <is>
          <t>홍삼</t>
        </is>
      </c>
      <c r="B81" s="13" t="inlineStr">
        <is>
          <t>생약·식물</t>
        </is>
      </c>
    </row>
    <row r="82">
      <c r="A82" s="13" t="inlineStr">
        <is>
          <t>회화나무열매추출물</t>
        </is>
      </c>
      <c r="B82" s="13" t="inlineStr">
        <is>
          <t>생약·식물</t>
        </is>
      </c>
    </row>
    <row r="83">
      <c r="A83" s="13" t="inlineStr">
        <is>
          <t>ARB</t>
        </is>
      </c>
      <c r="B83" s="13" t="inlineStr">
        <is>
          <t>약효군</t>
        </is>
      </c>
    </row>
    <row r="84">
      <c r="A84" s="13" t="inlineStr">
        <is>
          <t>DOAC</t>
        </is>
      </c>
      <c r="B84" s="13" t="inlineStr">
        <is>
          <t>약효군</t>
        </is>
      </c>
    </row>
    <row r="85">
      <c r="A85" s="13" t="inlineStr">
        <is>
          <t>GLP-1 수용체작용제</t>
        </is>
      </c>
      <c r="B85" s="13" t="inlineStr">
        <is>
          <t>약효군</t>
        </is>
      </c>
    </row>
    <row r="86">
      <c r="A86" s="13" t="inlineStr">
        <is>
          <t>PPI</t>
        </is>
      </c>
      <c r="B86" s="13" t="inlineStr">
        <is>
          <t>약효군</t>
        </is>
      </c>
    </row>
    <row r="87">
      <c r="A87" s="13" t="inlineStr">
        <is>
          <t>RAS차단제</t>
        </is>
      </c>
      <c r="B87" s="13" t="inlineStr">
        <is>
          <t>약효군</t>
        </is>
      </c>
    </row>
    <row r="88">
      <c r="A88" s="13" t="inlineStr">
        <is>
          <t>S1P조절제</t>
        </is>
      </c>
      <c r="B88" s="13" t="inlineStr">
        <is>
          <t>약효군</t>
        </is>
      </c>
    </row>
    <row r="89">
      <c r="A89" s="13" t="inlineStr">
        <is>
          <t>SNRI</t>
        </is>
      </c>
      <c r="B89" s="13" t="inlineStr">
        <is>
          <t>약효군</t>
        </is>
      </c>
    </row>
    <row r="90">
      <c r="A90" s="13" t="inlineStr">
        <is>
          <t>SSRI</t>
        </is>
      </c>
      <c r="B90" s="13" t="inlineStr">
        <is>
          <t>약효군</t>
        </is>
      </c>
    </row>
    <row r="91">
      <c r="A91" s="13" t="inlineStr">
        <is>
          <t>글루코코르티코이드</t>
        </is>
      </c>
      <c r="B91" s="13" t="inlineStr">
        <is>
          <t>약효군</t>
        </is>
      </c>
    </row>
    <row r="92">
      <c r="A92" s="13" t="inlineStr">
        <is>
          <t>루프이뇨제</t>
        </is>
      </c>
      <c r="B92" s="13" t="inlineStr">
        <is>
          <t>약효군</t>
        </is>
      </c>
    </row>
    <row r="93">
      <c r="A93" s="13" t="inlineStr">
        <is>
          <t>면역억제제</t>
        </is>
      </c>
      <c r="B93" s="13" t="inlineStr">
        <is>
          <t>약효군</t>
        </is>
      </c>
    </row>
    <row r="94">
      <c r="A94" s="13" t="inlineStr">
        <is>
          <t>면역조절제</t>
        </is>
      </c>
      <c r="B94" s="13" t="inlineStr">
        <is>
          <t>약효군</t>
        </is>
      </c>
    </row>
    <row r="95">
      <c r="A95" s="13" t="inlineStr">
        <is>
          <t>베타차단제</t>
        </is>
      </c>
      <c r="B95" s="13" t="inlineStr">
        <is>
          <t>약효군</t>
        </is>
      </c>
    </row>
    <row r="96">
      <c r="A96" s="13" t="inlineStr">
        <is>
          <t>벤조디아제핀</t>
        </is>
      </c>
      <c r="B96" s="13" t="inlineStr">
        <is>
          <t>약효군</t>
        </is>
      </c>
    </row>
    <row r="97">
      <c r="A97" s="13" t="inlineStr">
        <is>
          <t>비스포스포네이트</t>
        </is>
      </c>
      <c r="B97" s="13" t="inlineStr">
        <is>
          <t>약효군</t>
        </is>
      </c>
    </row>
    <row r="98">
      <c r="A98" s="13" t="inlineStr">
        <is>
          <t>생물학적제제</t>
        </is>
      </c>
      <c r="B98" s="13" t="inlineStr">
        <is>
          <t>약효군</t>
        </is>
      </c>
    </row>
    <row r="99">
      <c r="A99" s="13" t="inlineStr">
        <is>
          <t>설폰요소제</t>
        </is>
      </c>
      <c r="B99" s="13" t="inlineStr">
        <is>
          <t>약효군</t>
        </is>
      </c>
    </row>
    <row r="100">
      <c r="A100" s="13" t="inlineStr">
        <is>
          <t>수면제</t>
        </is>
      </c>
      <c r="B100" s="13" t="inlineStr">
        <is>
          <t>약효군</t>
        </is>
      </c>
    </row>
    <row r="101">
      <c r="A101" s="13" t="inlineStr">
        <is>
          <t>스타틴</t>
        </is>
      </c>
      <c r="B101" s="13" t="inlineStr">
        <is>
          <t>약효군</t>
        </is>
      </c>
    </row>
    <row r="102">
      <c r="A102" s="13" t="inlineStr">
        <is>
          <t>이뇨제</t>
        </is>
      </c>
      <c r="B102" s="13" t="inlineStr">
        <is>
          <t>약효군</t>
        </is>
      </c>
    </row>
    <row r="103">
      <c r="A103" s="13" t="inlineStr">
        <is>
          <t>인터페론</t>
        </is>
      </c>
      <c r="B103" s="13" t="inlineStr">
        <is>
          <t>약효군</t>
        </is>
      </c>
    </row>
    <row r="104">
      <c r="A104" s="13" t="inlineStr">
        <is>
          <t>칼륨보존이뇨제</t>
        </is>
      </c>
      <c r="B104" s="13" t="inlineStr">
        <is>
          <t>약효군</t>
        </is>
      </c>
    </row>
    <row r="105">
      <c r="A105" s="13" t="inlineStr">
        <is>
          <t>칼슘통로차단제</t>
        </is>
      </c>
      <c r="B105" s="13" t="inlineStr">
        <is>
          <t>약효군</t>
        </is>
      </c>
    </row>
    <row r="106">
      <c r="A106" s="13" t="inlineStr">
        <is>
          <t>콜린에스터라제 억제제</t>
        </is>
      </c>
      <c r="B106" s="13" t="inlineStr">
        <is>
          <t>약효군</t>
        </is>
      </c>
    </row>
    <row r="107">
      <c r="A107" s="13" t="inlineStr">
        <is>
          <t>티아지드 이뇨제</t>
        </is>
      </c>
      <c r="B107" s="13" t="inlineStr">
        <is>
          <t>약효군</t>
        </is>
      </c>
    </row>
    <row r="108">
      <c r="A108" s="13" t="inlineStr">
        <is>
          <t>항경련제</t>
        </is>
      </c>
      <c r="B108" s="13" t="inlineStr">
        <is>
          <t>약효군</t>
        </is>
      </c>
    </row>
    <row r="109">
      <c r="A109" s="13" t="inlineStr">
        <is>
          <t>항레트로바이러스제</t>
        </is>
      </c>
      <c r="B109" s="13" t="inlineStr">
        <is>
          <t>약효군</t>
        </is>
      </c>
    </row>
    <row r="110">
      <c r="A110" s="13" t="inlineStr">
        <is>
          <t>항무스카린제</t>
        </is>
      </c>
      <c r="B110" s="13" t="inlineStr">
        <is>
          <t>약효군</t>
        </is>
      </c>
    </row>
    <row r="111">
      <c r="A111" s="13" t="inlineStr">
        <is>
          <t>항생제</t>
        </is>
      </c>
      <c r="B111" s="13" t="inlineStr">
        <is>
          <t>약효군</t>
        </is>
      </c>
    </row>
    <row r="112">
      <c r="A112" s="13" t="inlineStr">
        <is>
          <t>항암제</t>
        </is>
      </c>
      <c r="B112" s="13" t="inlineStr">
        <is>
          <t>약효군</t>
        </is>
      </c>
    </row>
    <row r="113">
      <c r="A113" s="13" t="inlineStr">
        <is>
          <t>항우울제</t>
        </is>
      </c>
      <c r="B113" s="13" t="inlineStr">
        <is>
          <t>약효군</t>
        </is>
      </c>
    </row>
    <row r="114">
      <c r="A114" s="13" t="inlineStr">
        <is>
          <t>항응고제</t>
        </is>
      </c>
      <c r="B114" s="13" t="inlineStr">
        <is>
          <t>약효군</t>
        </is>
      </c>
    </row>
    <row r="115">
      <c r="A115" s="13" t="inlineStr">
        <is>
          <t>항콜린성 약물</t>
        </is>
      </c>
      <c r="B115" s="13" t="inlineStr">
        <is>
          <t>약효군</t>
        </is>
      </c>
    </row>
    <row r="116">
      <c r="A116" s="13" t="inlineStr">
        <is>
          <t>항혈소판제</t>
        </is>
      </c>
      <c r="B116" s="13" t="inlineStr">
        <is>
          <t>약효군</t>
        </is>
      </c>
    </row>
    <row r="117">
      <c r="A117" s="13" t="inlineStr">
        <is>
          <t>항혈전제</t>
        </is>
      </c>
      <c r="B117" s="13" t="inlineStr">
        <is>
          <t>약효군</t>
        </is>
      </c>
    </row>
    <row r="118">
      <c r="A118" s="13" t="inlineStr">
        <is>
          <t>혈당강하제</t>
        </is>
      </c>
      <c r="B118" s="13" t="inlineStr">
        <is>
          <t>약효군</t>
        </is>
      </c>
    </row>
    <row r="119">
      <c r="A119" s="13" t="inlineStr">
        <is>
          <t>혈압약</t>
        </is>
      </c>
      <c r="B119" s="13" t="inlineStr">
        <is>
          <t>약효군</t>
        </is>
      </c>
    </row>
    <row r="120">
      <c r="A120" s="13" t="inlineStr">
        <is>
          <t>구연산칼륨</t>
        </is>
      </c>
      <c r="B120" s="13" t="inlineStr">
        <is>
          <t>의약품</t>
        </is>
      </c>
    </row>
    <row r="121">
      <c r="A121" s="13" t="inlineStr">
        <is>
          <t>글리메피리드</t>
        </is>
      </c>
      <c r="B121" s="13" t="inlineStr">
        <is>
          <t>의약품</t>
        </is>
      </c>
    </row>
    <row r="122">
      <c r="A122" s="13" t="inlineStr">
        <is>
          <t>니페디핀</t>
        </is>
      </c>
      <c r="B122" s="13" t="inlineStr">
        <is>
          <t>의약품</t>
        </is>
      </c>
    </row>
    <row r="123">
      <c r="A123" s="13" t="inlineStr">
        <is>
          <t>둘록세틴</t>
        </is>
      </c>
      <c r="B123" s="13" t="inlineStr">
        <is>
          <t>의약품</t>
        </is>
      </c>
    </row>
    <row r="124">
      <c r="A124" s="13" t="inlineStr">
        <is>
          <t>디곡신</t>
        </is>
      </c>
      <c r="B124" s="13" t="inlineStr">
        <is>
          <t>의약품</t>
        </is>
      </c>
    </row>
    <row r="125">
      <c r="A125" s="13" t="inlineStr">
        <is>
          <t>레보도파</t>
        </is>
      </c>
      <c r="B125" s="13" t="inlineStr">
        <is>
          <t>의약품</t>
        </is>
      </c>
    </row>
    <row r="126">
      <c r="A126" s="13" t="inlineStr">
        <is>
          <t>레보티록신</t>
        </is>
      </c>
      <c r="B126" s="13" t="inlineStr">
        <is>
          <t>의약품</t>
        </is>
      </c>
    </row>
    <row r="127">
      <c r="A127" s="13" t="inlineStr">
        <is>
          <t>로바스타틴</t>
        </is>
      </c>
      <c r="B127" s="13" t="inlineStr">
        <is>
          <t>의약품</t>
        </is>
      </c>
    </row>
    <row r="128">
      <c r="A128" s="13" t="inlineStr">
        <is>
          <t>로사르탄</t>
        </is>
      </c>
      <c r="B128" s="13" t="inlineStr">
        <is>
          <t>의약품</t>
        </is>
      </c>
    </row>
    <row r="129">
      <c r="A129" s="13" t="inlineStr">
        <is>
          <t>리라글루타이드</t>
        </is>
      </c>
      <c r="B129" s="13" t="inlineStr">
        <is>
          <t>의약품</t>
        </is>
      </c>
    </row>
    <row r="130">
      <c r="A130" s="13" t="inlineStr">
        <is>
          <t>메토트렉세이트</t>
        </is>
      </c>
      <c r="B130" s="13" t="inlineStr">
        <is>
          <t>의약품</t>
        </is>
      </c>
    </row>
    <row r="131">
      <c r="A131" s="13" t="inlineStr">
        <is>
          <t>메트포르민</t>
        </is>
      </c>
      <c r="B131" s="13" t="inlineStr">
        <is>
          <t>의약품</t>
        </is>
      </c>
    </row>
    <row r="132">
      <c r="A132" s="13" t="inlineStr">
        <is>
          <t>메티마졸</t>
        </is>
      </c>
      <c r="B132" s="13" t="inlineStr">
        <is>
          <t>의약품</t>
        </is>
      </c>
    </row>
    <row r="133">
      <c r="A133" s="13" t="inlineStr">
        <is>
          <t>메틸페니데이트</t>
        </is>
      </c>
      <c r="B133" s="13" t="inlineStr">
        <is>
          <t>의약품</t>
        </is>
      </c>
    </row>
    <row r="134">
      <c r="A134" s="13" t="inlineStr">
        <is>
          <t>미코페놀레이트 모페틸</t>
        </is>
      </c>
      <c r="B134" s="13" t="inlineStr">
        <is>
          <t>의약품</t>
        </is>
      </c>
    </row>
    <row r="135">
      <c r="A135" s="13" t="inlineStr">
        <is>
          <t>발프로산</t>
        </is>
      </c>
      <c r="B135" s="13" t="inlineStr">
        <is>
          <t>의약품</t>
        </is>
      </c>
    </row>
    <row r="136">
      <c r="A136" s="13" t="inlineStr">
        <is>
          <t>부프로피온</t>
        </is>
      </c>
      <c r="B136" s="13" t="inlineStr">
        <is>
          <t>의약품</t>
        </is>
      </c>
    </row>
    <row r="137">
      <c r="A137" s="13" t="inlineStr">
        <is>
          <t>세마글루타이드</t>
        </is>
      </c>
      <c r="B137" s="13" t="inlineStr">
        <is>
          <t>의약품</t>
        </is>
      </c>
    </row>
    <row r="138">
      <c r="A138" s="13" t="inlineStr">
        <is>
          <t>아미오다론</t>
        </is>
      </c>
      <c r="B138" s="13" t="inlineStr">
        <is>
          <t>의약품</t>
        </is>
      </c>
    </row>
    <row r="139">
      <c r="A139" s="13" t="inlineStr">
        <is>
          <t>아스피린</t>
        </is>
      </c>
      <c r="B139" s="13" t="inlineStr">
        <is>
          <t>의약품</t>
        </is>
      </c>
    </row>
    <row r="140">
      <c r="A140" s="13" t="inlineStr">
        <is>
          <t>아토르바스타틴</t>
        </is>
      </c>
      <c r="B140" s="13" t="inlineStr">
        <is>
          <t>의약품</t>
        </is>
      </c>
    </row>
    <row r="141">
      <c r="A141" s="13" t="inlineStr">
        <is>
          <t>아픽사반</t>
        </is>
      </c>
      <c r="B141" s="13" t="inlineStr">
        <is>
          <t>의약품</t>
        </is>
      </c>
    </row>
    <row r="142">
      <c r="A142" s="13" t="inlineStr">
        <is>
          <t>알렌드로네이트</t>
        </is>
      </c>
      <c r="B142" s="13" t="inlineStr">
        <is>
          <t>의약품</t>
        </is>
      </c>
    </row>
    <row r="143">
      <c r="A143" s="13" t="inlineStr">
        <is>
          <t>알로푸리놀</t>
        </is>
      </c>
      <c r="B143" s="13" t="inlineStr">
        <is>
          <t>의약품</t>
        </is>
      </c>
    </row>
    <row r="144">
      <c r="A144" s="13" t="inlineStr">
        <is>
          <t>암로디핀</t>
        </is>
      </c>
      <c r="B144" s="13" t="inlineStr">
        <is>
          <t>의약품</t>
        </is>
      </c>
    </row>
    <row r="145">
      <c r="A145" s="13" t="inlineStr">
        <is>
          <t>에스시탈로프람</t>
        </is>
      </c>
      <c r="B145" s="13" t="inlineStr">
        <is>
          <t>의약품</t>
        </is>
      </c>
    </row>
    <row r="146">
      <c r="A146" s="13" t="inlineStr">
        <is>
          <t>오를리스타트</t>
        </is>
      </c>
      <c r="B146" s="13" t="inlineStr">
        <is>
          <t>의약품</t>
        </is>
      </c>
    </row>
    <row r="147">
      <c r="A147" s="13" t="inlineStr">
        <is>
          <t>와파린</t>
        </is>
      </c>
      <c r="B147" s="13" t="inlineStr">
        <is>
          <t>의약품</t>
        </is>
      </c>
    </row>
    <row r="148">
      <c r="A148" s="13" t="inlineStr">
        <is>
          <t>이소니아지드</t>
        </is>
      </c>
      <c r="B148" s="13" t="inlineStr">
        <is>
          <t>의약품</t>
        </is>
      </c>
    </row>
    <row r="149">
      <c r="A149" s="13" t="inlineStr">
        <is>
          <t>인슐린</t>
        </is>
      </c>
      <c r="B149" s="13" t="inlineStr">
        <is>
          <t>의약품</t>
        </is>
      </c>
    </row>
    <row r="150">
      <c r="A150" s="13" t="inlineStr">
        <is>
          <t>카르바마제핀</t>
        </is>
      </c>
      <c r="B150" s="13" t="inlineStr">
        <is>
          <t>의약품</t>
        </is>
      </c>
    </row>
    <row r="151">
      <c r="A151" s="13" t="inlineStr">
        <is>
          <t>클로피도그렐</t>
        </is>
      </c>
      <c r="B151" s="13" t="inlineStr">
        <is>
          <t>의약품</t>
        </is>
      </c>
    </row>
    <row r="152">
      <c r="A152" s="13" t="inlineStr">
        <is>
          <t>타목시펜</t>
        </is>
      </c>
      <c r="B152" s="13" t="inlineStr">
        <is>
          <t>의약품</t>
        </is>
      </c>
    </row>
    <row r="153">
      <c r="A153" s="13" t="inlineStr">
        <is>
          <t>타크로리무스</t>
        </is>
      </c>
      <c r="B153" s="13" t="inlineStr">
        <is>
          <t>의약품</t>
        </is>
      </c>
    </row>
    <row r="154">
      <c r="A154" s="13" t="inlineStr">
        <is>
          <t>토피라메이트</t>
        </is>
      </c>
      <c r="B154" s="13" t="inlineStr">
        <is>
          <t>의약품</t>
        </is>
      </c>
    </row>
    <row r="155">
      <c r="A155" s="13" t="inlineStr">
        <is>
          <t>톨밥탄</t>
        </is>
      </c>
      <c r="B155" s="13" t="inlineStr">
        <is>
          <t>의약품</t>
        </is>
      </c>
    </row>
    <row r="156">
      <c r="A156" s="13" t="inlineStr">
        <is>
          <t>페북소스타트</t>
        </is>
      </c>
      <c r="B156" s="13" t="inlineStr">
        <is>
          <t>의약품</t>
        </is>
      </c>
    </row>
    <row r="157">
      <c r="A157" s="13" t="inlineStr">
        <is>
          <t>펜터민</t>
        </is>
      </c>
      <c r="B157" s="13" t="inlineStr">
        <is>
          <t>의약품</t>
        </is>
      </c>
    </row>
    <row r="158">
      <c r="A158" s="13" t="inlineStr">
        <is>
          <t>푸로세미드</t>
        </is>
      </c>
      <c r="B158" s="13" t="inlineStr">
        <is>
          <t>의약품</t>
        </is>
      </c>
    </row>
    <row r="159">
      <c r="A159" s="13" t="inlineStr">
        <is>
          <t>프레가발린</t>
        </is>
      </c>
      <c r="B159" s="13" t="inlineStr">
        <is>
          <t>의약품</t>
        </is>
      </c>
    </row>
    <row r="160">
      <c r="A160" s="13" t="inlineStr">
        <is>
          <t>프레드니솔론</t>
        </is>
      </c>
      <c r="B160" s="13" t="inlineStr">
        <is>
          <t>의약품</t>
        </is>
      </c>
    </row>
    <row r="161">
      <c r="A161" s="13" t="inlineStr">
        <is>
          <t>피나스테리드</t>
        </is>
      </c>
      <c r="B161" s="13" t="inlineStr">
        <is>
          <t>의약품</t>
        </is>
      </c>
    </row>
    <row r="162">
      <c r="A162" s="13" t="inlineStr">
        <is>
          <t>피르페니돈</t>
        </is>
      </c>
      <c r="B162" s="13" t="inlineStr">
        <is>
          <t>의약품</t>
        </is>
      </c>
    </row>
    <row r="163">
      <c r="A163" s="13" t="inlineStr">
        <is>
          <t>히드로클로로티아지드</t>
        </is>
      </c>
      <c r="B163" s="13" t="inlineStr">
        <is>
          <t>의약품</t>
        </is>
      </c>
    </row>
    <row r="164">
      <c r="A164" s="13" t="inlineStr">
        <is>
          <t>사카로마이세스 보울라디</t>
        </is>
      </c>
      <c r="B164" s="13" t="inlineStr">
        <is>
          <t>프로바이오틱스</t>
        </is>
      </c>
    </row>
    <row r="165">
      <c r="A165" s="13" t="inlineStr">
        <is>
          <t>프로바이오틱스</t>
        </is>
      </c>
      <c r="B165" s="13" t="inlineStr">
        <is>
          <t>프로바이오틱스</t>
        </is>
      </c>
    </row>
  </sheetData>
  <autoFilter ref="A2:B1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  <col width="34" customWidth="1" min="4" max="4"/>
  </cols>
  <sheetData>
    <row r="1">
      <c r="A1" s="14" t="inlineStr">
        <is>
          <t>A. 등급 (심각도) — 시트① 「등급」 드롭다운</t>
        </is>
      </c>
    </row>
    <row r="2">
      <c r="A2" s="6" t="inlineStr">
        <is>
          <t>등급</t>
        </is>
      </c>
      <c r="B2" s="6" t="inlineStr">
        <is>
          <t>DB 값(개발자용)</t>
        </is>
      </c>
      <c r="C2" s="6" t="inlineStr">
        <is>
          <t>뜻</t>
        </is>
      </c>
      <c r="D2" s="6" t="inlineStr">
        <is>
          <t>예</t>
        </is>
      </c>
    </row>
    <row r="3">
      <c r="A3" s="9" t="inlineStr">
        <is>
          <t>금기</t>
        </is>
      </c>
      <c r="B3" s="9" t="inlineStr">
        <is>
          <t>contraindicated</t>
        </is>
      </c>
      <c r="C3" s="9" t="inlineStr">
        <is>
          <t>함께 쓰면 안 됨. 둘 중 하나를 빼야 함.</t>
        </is>
      </c>
      <c r="D3" s="9" t="inlineStr">
        <is>
          <t>아미오다론 × 요오드·켈프</t>
        </is>
      </c>
    </row>
    <row r="4">
      <c r="A4" s="9" t="inlineStr">
        <is>
          <t>주의</t>
        </is>
      </c>
      <c r="B4" s="9" t="inlineStr">
        <is>
          <t>caution</t>
        </is>
      </c>
      <c r="C4" s="9" t="inlineStr">
        <is>
          <t>같이 쓰면 해로울 수 있어 의사·약사 상의가 필요함.</t>
        </is>
      </c>
      <c r="D4" s="9" t="inlineStr">
        <is>
          <t>와파린 × 크랜베리</t>
        </is>
      </c>
    </row>
    <row r="5">
      <c r="A5" s="9" t="inlineStr">
        <is>
          <t>시간 조정</t>
        </is>
      </c>
      <c r="B5" s="9" t="inlineStr">
        <is>
          <t>timing</t>
        </is>
      </c>
      <c r="C5" s="9" t="inlineStr">
        <is>
          <t>같이 써도 되지만 복용 시간을 띄워야 함. 「시간 간격」 칸을 꼭 채움.</t>
        </is>
      </c>
      <c r="D5" s="9" t="inlineStr">
        <is>
          <t>레보티록신 × 칼슘 (4시간)</t>
        </is>
      </c>
    </row>
    <row r="6">
      <c r="A6" s="9" t="inlineStr">
        <is>
          <t>확인 권장</t>
        </is>
      </c>
      <c r="B6" s="9" t="inlineStr">
        <is>
          <t>monitor</t>
        </is>
      </c>
      <c r="C6" s="9" t="inlineStr">
        <is>
          <t>함께 쓸 수 있으나 검사 수치·증상을 지켜봐야 함.</t>
        </is>
      </c>
      <c r="D6" s="9" t="inlineStr">
        <is>
          <t>스타틴 × 홍국</t>
        </is>
      </c>
    </row>
    <row r="7">
      <c r="A7" s="9" t="inlineStr">
        <is>
          <t>알아두기</t>
        </is>
      </c>
      <c r="B7" s="9" t="inlineStr">
        <is>
          <t>info</t>
        </is>
      </c>
      <c r="C7" s="9" t="inlineStr">
        <is>
          <t>위험은 낮고 알아 두면 좋은 정보.</t>
        </is>
      </c>
      <c r="D7" s="9" t="inlineStr">
        <is>
          <t>비타민 C × 철분 (흡수 도움)</t>
        </is>
      </c>
    </row>
    <row r="10">
      <c r="A10" s="14" t="inlineStr">
        <is>
          <t>B. 근거 수준 — 시트① 「근거 수준」 드롭다운</t>
        </is>
      </c>
    </row>
    <row r="11">
      <c r="A11" s="6" t="inlineStr">
        <is>
          <t>근거 수준</t>
        </is>
      </c>
      <c r="B11" s="6" t="inlineStr">
        <is>
          <t>DB 값(개발자용)</t>
        </is>
      </c>
      <c r="C11" s="6" t="inlineStr">
        <is>
          <t>뜻</t>
        </is>
      </c>
      <c r="D11" s="6" t="inlineStr">
        <is>
          <t>화면에 보이는 표기</t>
        </is>
      </c>
    </row>
    <row r="12">
      <c r="A12" s="9" t="inlineStr">
        <is>
          <t>확립</t>
        </is>
      </c>
      <c r="B12" s="9" t="inlineStr">
        <is>
          <t>established</t>
        </is>
      </c>
      <c r="C12" s="9" t="inlineStr">
        <is>
          <t>임상 연구·공식 자료로 확인됨</t>
        </is>
      </c>
      <c r="D12" s="9" t="inlineStr">
        <is>
          <t>연구로 확인됨</t>
        </is>
      </c>
    </row>
    <row r="13">
      <c r="A13" s="9" t="inlineStr">
        <is>
          <t>이론적</t>
        </is>
      </c>
      <c r="B13" s="9" t="inlineStr">
        <is>
          <t>theoretical</t>
        </is>
      </c>
      <c r="C13" s="9" t="inlineStr">
        <is>
          <t>기전상 예상되나 사람에서 확인되지 않음</t>
        </is>
      </c>
      <c r="D13" s="9" t="inlineStr">
        <is>
          <t>가능성 있음</t>
        </is>
      </c>
    </row>
    <row r="14">
      <c r="A14" s="9" t="inlineStr">
        <is>
          <t>제한적</t>
        </is>
      </c>
      <c r="B14" s="9" t="inlineStr">
        <is>
          <t>limited</t>
        </is>
      </c>
      <c r="C14" s="9" t="inlineStr">
        <is>
          <t>사례 보고 몇 건 수준</t>
        </is>
      </c>
      <c r="D14" s="9" t="inlineStr">
        <is>
          <t>가능성 있음</t>
        </is>
      </c>
    </row>
    <row r="15">
      <c r="A15" s="9" t="inlineStr">
        <is>
          <t>엇갈림</t>
        </is>
      </c>
      <c r="B15" s="9" t="inlineStr">
        <is>
          <t>conflicting</t>
        </is>
      </c>
      <c r="C15" s="9" t="inlineStr">
        <is>
          <t>연구 결과가 서로 다름</t>
        </is>
      </c>
      <c r="D15" s="9" t="inlineStr">
        <is>
          <t>의견이 갈림</t>
        </is>
      </c>
    </row>
    <row r="18">
      <c r="A18" s="14" t="inlineStr">
        <is>
          <t>C. 조건 (해당할 때만) — 시트① 「조건」 드롭다운</t>
        </is>
      </c>
    </row>
    <row r="19">
      <c r="A19" s="6" t="inlineStr">
        <is>
          <t>조건 이름</t>
        </is>
      </c>
      <c r="B19" s="6" t="inlineStr">
        <is>
          <t>비고</t>
        </is>
      </c>
    </row>
    <row r="20">
      <c r="A20" s="9" t="inlineStr">
        <is>
          <t>임신</t>
        </is>
      </c>
      <c r="B20" s="9" t="inlineStr">
        <is>
          <t>앱 버튼 「임신·수유 중」이 이 조건으로 전달됨</t>
        </is>
      </c>
    </row>
    <row r="21">
      <c r="A21" s="9" t="inlineStr">
        <is>
          <t>만성콩팥병(3~4기·중증)</t>
        </is>
      </c>
      <c r="B21" s="9" t="inlineStr">
        <is>
          <t>앱 버튼 「신장질환」은 아직 연결 안 됨 — 신장 조건 규칙을 적어 주시면 연결함</t>
        </is>
      </c>
    </row>
    <row r="22">
      <c r="A22" s="9" t="inlineStr">
        <is>
          <t>혈액투석</t>
        </is>
      </c>
      <c r="B22" s="9" t="inlineStr"/>
    </row>
    <row r="23">
      <c r="A23" s="9" t="inlineStr">
        <is>
          <t>흡연</t>
        </is>
      </c>
      <c r="B23" s="9" t="inlineStr"/>
    </row>
    <row r="24">
      <c r="A24" s="9" t="inlineStr">
        <is>
          <t>수술 예정</t>
        </is>
      </c>
      <c r="B24" s="9" t="inlineStr">
        <is>
          <t>「수술 전 중단」 일수와 함께 쓰는 조건</t>
        </is>
      </c>
    </row>
    <row r="25">
      <c r="A25" s="9" t="inlineStr">
        <is>
          <t>간질환</t>
        </is>
      </c>
      <c r="B25" s="9" t="inlineStr">
        <is>
          <t>데이터베이스에 아직 없음 — 적어 주시면 새로 만듦</t>
        </is>
      </c>
    </row>
    <row r="26">
      <c r="A26" s="9" t="inlineStr">
        <is>
          <t>60대 이상</t>
        </is>
      </c>
      <c r="B26" s="9" t="inlineStr">
        <is>
          <t>데이터베이스에 아직 없음 — 고령 조건 규칙이 있으면 적어 주시면 새로 만듦</t>
        </is>
      </c>
    </row>
    <row r="29">
      <c r="A29" s="14" t="inlineStr">
        <is>
          <t>D. 앱 화면의 버튼(칩) — 사용자가 누르는 이름과 데이터베이스 성분·계열의 대응</t>
        </is>
      </c>
    </row>
    <row r="30">
      <c r="A30" s="6" t="inlineStr">
        <is>
          <t>앱 버튼</t>
        </is>
      </c>
      <c r="B30" s="6" t="inlineStr">
        <is>
          <t>데이터베이스에서 풀리는 이름 / 상태</t>
        </is>
      </c>
    </row>
    <row r="31">
      <c r="A31" s="9" t="inlineStr">
        <is>
          <t>오메가3</t>
        </is>
      </c>
      <c r="B31" s="9" t="inlineStr">
        <is>
          <t>같은 이름의 성분 있음</t>
        </is>
      </c>
    </row>
    <row r="32">
      <c r="A32" s="9" t="inlineStr">
        <is>
          <t>비타민D</t>
        </is>
      </c>
      <c r="B32" s="9" t="inlineStr">
        <is>
          <t>같은 이름의 성분 있음</t>
        </is>
      </c>
    </row>
    <row r="33">
      <c r="A33" s="9" t="inlineStr">
        <is>
          <t>마그네슘</t>
        </is>
      </c>
      <c r="B33" s="9" t="inlineStr">
        <is>
          <t>같은 이름의 성분 있음</t>
        </is>
      </c>
    </row>
    <row r="34">
      <c r="A34" s="9" t="inlineStr">
        <is>
          <t>유산균</t>
        </is>
      </c>
      <c r="B34" s="9">
        <f> 프로바이오틱스</f>
        <v/>
      </c>
    </row>
    <row r="35">
      <c r="A35" s="9" t="inlineStr">
        <is>
          <t>종합비타민</t>
        </is>
      </c>
      <c r="B35" s="9" t="inlineStr">
        <is>
          <t>연결된 규칙 없음</t>
        </is>
      </c>
    </row>
    <row r="36">
      <c r="A36" s="9" t="inlineStr">
        <is>
          <t>철분</t>
        </is>
      </c>
      <c r="B36" s="9" t="inlineStr">
        <is>
          <t>같은 이름의 성분 있음</t>
        </is>
      </c>
    </row>
    <row r="37">
      <c r="A37" s="9" t="inlineStr">
        <is>
          <t>루테인</t>
        </is>
      </c>
      <c r="B37" s="9" t="inlineStr">
        <is>
          <t>같은 이름의 성분 있음</t>
        </is>
      </c>
    </row>
    <row r="38">
      <c r="A38" s="9" t="inlineStr">
        <is>
          <t>밀크씨슬</t>
        </is>
      </c>
      <c r="B38" s="9" t="inlineStr">
        <is>
          <t>같은 이름의 성분 있음</t>
        </is>
      </c>
    </row>
    <row r="39">
      <c r="A39" s="9" t="inlineStr">
        <is>
          <t>콜라겐</t>
        </is>
      </c>
      <c r="B39" s="9" t="inlineStr">
        <is>
          <t>연결된 규칙 없음</t>
        </is>
      </c>
    </row>
    <row r="40">
      <c r="A40" s="9" t="inlineStr">
        <is>
          <t>아연</t>
        </is>
      </c>
      <c r="B40" s="9" t="inlineStr">
        <is>
          <t>같은 이름의 성분 있음</t>
        </is>
      </c>
    </row>
    <row r="41">
      <c r="A41" s="9" t="inlineStr">
        <is>
          <t>홍삼</t>
        </is>
      </c>
      <c r="B41" s="9">
        <f> 인삼</f>
        <v/>
      </c>
    </row>
    <row r="42">
      <c r="A42" s="9" t="inlineStr">
        <is>
          <t>단백질보충제</t>
        </is>
      </c>
      <c r="B42" s="9">
        <f> 콩</f>
        <v/>
      </c>
    </row>
    <row r="43">
      <c r="A43" s="9" t="inlineStr">
        <is>
          <t>갑상선약</t>
        </is>
      </c>
      <c r="B43" s="9">
        <f> 레보티록신</f>
        <v/>
      </c>
    </row>
    <row r="44">
      <c r="A44" s="9" t="inlineStr">
        <is>
          <t>혈압약</t>
        </is>
      </c>
      <c r="B44" s="9">
        <f> 칼슘통로차단제·RAS차단제·칼륨보존이뇨제</f>
        <v/>
      </c>
    </row>
    <row r="45">
      <c r="A45" s="9" t="inlineStr">
        <is>
          <t>고지혈증약</t>
        </is>
      </c>
      <c r="B45" s="9">
        <f> 스타틴</f>
        <v/>
      </c>
    </row>
    <row r="46">
      <c r="A46" s="9" t="inlineStr">
        <is>
          <t>위장약</t>
        </is>
      </c>
      <c r="B46" s="9">
        <f> PPI</f>
        <v/>
      </c>
    </row>
    <row r="47">
      <c r="A47" s="9" t="inlineStr">
        <is>
          <t>통증·소염제</t>
        </is>
      </c>
      <c r="B47" s="9" t="inlineStr">
        <is>
          <t>연결된 규칙 없음 — NSAID·아세트아미노펜 조합이 필요</t>
        </is>
      </c>
    </row>
    <row r="48">
      <c r="A48" s="9" t="inlineStr">
        <is>
          <t>알레르기약</t>
        </is>
      </c>
      <c r="B48" s="9" t="inlineStr">
        <is>
          <t>연결된 규칙 없음 — 항히스타민제 조합이 필요</t>
        </is>
      </c>
    </row>
    <row r="49">
      <c r="A49" s="9" t="inlineStr">
        <is>
          <t>피임약</t>
        </is>
      </c>
      <c r="B49" s="9" t="inlineStr">
        <is>
          <t>연결된 규칙 없음</t>
        </is>
      </c>
    </row>
    <row r="50">
      <c r="A50" s="9" t="inlineStr">
        <is>
          <t>항우울제</t>
        </is>
      </c>
      <c r="B50" s="9">
        <f> SSRI·SNRI</f>
        <v/>
      </c>
    </row>
    <row r="51">
      <c r="A51" s="9" t="inlineStr">
        <is>
          <t>여드름약</t>
        </is>
      </c>
      <c r="B51" s="9" t="inlineStr">
        <is>
          <t>연결된 규칙 없음 — 이소트레티노인 등</t>
        </is>
      </c>
    </row>
    <row r="54">
      <c r="A54" s="14" t="inlineStr">
        <is>
          <t>E. 성분 종류 — 시트② 「종류」 드롭다운</t>
        </is>
      </c>
    </row>
    <row r="55">
      <c r="A55" s="6" t="inlineStr">
        <is>
          <t>종류</t>
        </is>
      </c>
      <c r="B55" s="6" t="inlineStr">
        <is>
          <t>뜻</t>
        </is>
      </c>
    </row>
    <row r="56">
      <c r="A56" s="9" t="inlineStr">
        <is>
          <t>의약품</t>
        </is>
      </c>
      <c r="B56" s="9" t="inlineStr">
        <is>
          <t>개별 약 성분 (와파린, 메트포르민)</t>
        </is>
      </c>
    </row>
    <row r="57">
      <c r="A57" s="9" t="inlineStr">
        <is>
          <t>약효군</t>
        </is>
      </c>
      <c r="B57" s="9" t="inlineStr">
        <is>
          <t>약 계열 (스타틴, PPI, 항혈소판제)</t>
        </is>
      </c>
    </row>
    <row r="58">
      <c r="A58" s="9" t="inlineStr">
        <is>
          <t>생약·식물</t>
        </is>
      </c>
      <c r="B58" s="9" t="inlineStr">
        <is>
          <t>홍국, 은행잎, 인삼 …</t>
        </is>
      </c>
    </row>
    <row r="59">
      <c r="A59" s="9" t="inlineStr">
        <is>
          <t>비타민</t>
        </is>
      </c>
      <c r="B59" s="9" t="inlineStr"/>
    </row>
    <row r="60">
      <c r="A60" s="9" t="inlineStr">
        <is>
          <t>미네랄</t>
        </is>
      </c>
      <c r="B60" s="9" t="inlineStr"/>
    </row>
    <row r="61">
      <c r="A61" s="9" t="inlineStr">
        <is>
          <t>프로바이오틱스</t>
        </is>
      </c>
      <c r="B61" s="9" t="inlineStr"/>
    </row>
    <row r="62">
      <c r="A62" s="9" t="inlineStr">
        <is>
          <t>기타</t>
        </is>
      </c>
      <c r="B62" s="9" t="inlineStr">
        <is>
          <t>오메가-3, 코엔자임 Q10, 아미노산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2026-10-12T14:59:10Z</dcterms:created>
  <dcterms:modified xmlns:dcterms="http://purl.org/dc/terms/" xmlns:xsi="http://www.w3.org/2001/XMLSchema-instance" xsi:type="dcterms:W3CDTF">2026-10-12T14:59:11Z</dcterms:modified>
</cp:coreProperties>
</file>